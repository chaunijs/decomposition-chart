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erapat.Haeranyikan\antigravity-develop\marimekko\"/>
    </mc:Choice>
  </mc:AlternateContent>
  <xr:revisionPtr revIDLastSave="0" documentId="13_ncr:1_{6F7A9E7C-6832-451C-9B65-65D5AF8EBB9F}" xr6:coauthVersionLast="47" xr6:coauthVersionMax="47" xr10:uidLastSave="{00000000-0000-0000-0000-000000000000}"/>
  <bookViews>
    <workbookView xWindow="-110" yWindow="-110" windowWidth="19420" windowHeight="11500" xr2:uid="{4472F049-1BA6-4800-9AA2-C23534F7F5BC}"/>
  </bookViews>
  <sheets>
    <sheet name="Sheet1" sheetId="1" r:id="rId1"/>
    <sheet name="Decomposition" sheetId="2" r:id="rId2"/>
    <sheet name="SKILL" sheetId="4" r:id="rId3"/>
    <sheet name="SKILL_PY" sheetId="5" r:id="rId4"/>
    <sheet name="SKILL_JS" sheetId="6" r:id="rId5"/>
  </sheets>
  <definedNames>
    <definedName name="bps_dish">Sheet1!$M$23:$Q$28</definedName>
    <definedName name="bps_fab_en">Sheet1!$M$16:$Q$21</definedName>
    <definedName name="bps_liquid">Sheet1!$M$9:$Q$14</definedName>
    <definedName name="bps_powder">Sheet1!$M$2:$Q$7</definedName>
    <definedName name="cont_dish">Sheet1!$G$23:$K$28</definedName>
    <definedName name="cont_fab_en">Sheet1!$G$16:$K$21</definedName>
    <definedName name="cont_liquid">Sheet1!$G$9:$K$14</definedName>
    <definedName name="cont_powder">Sheet1!$G$2:$K$7</definedName>
    <definedName name="growth_pct_dish">Sheet1!$S$23:$W$28</definedName>
    <definedName name="growth_pct_fab_en">Sheet1!$S$16:$W$21</definedName>
    <definedName name="growth_pct_liquid">Sheet1!$S$9:$W$14</definedName>
    <definedName name="growth_pct_powder">Sheet1!$S$2:$W$7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17" i="2" l="1"/>
  <c r="E117" i="2"/>
  <c r="D117" i="2"/>
  <c r="C117" i="2"/>
  <c r="A117" i="2"/>
  <c r="F116" i="2"/>
  <c r="E116" i="2"/>
  <c r="D116" i="2"/>
  <c r="C116" i="2"/>
  <c r="A116" i="2"/>
  <c r="F115" i="2"/>
  <c r="E115" i="2"/>
  <c r="D115" i="2"/>
  <c r="C115" i="2"/>
  <c r="A115" i="2"/>
  <c r="F114" i="2"/>
  <c r="E114" i="2"/>
  <c r="D114" i="2"/>
  <c r="C114" i="2"/>
  <c r="A114" i="2"/>
  <c r="F113" i="2"/>
  <c r="E113" i="2"/>
  <c r="D113" i="2"/>
  <c r="C113" i="2"/>
  <c r="A113" i="2"/>
  <c r="F112" i="2"/>
  <c r="E112" i="2"/>
  <c r="D112" i="2"/>
  <c r="C112" i="2"/>
  <c r="A112" i="2"/>
  <c r="F111" i="2"/>
  <c r="E111" i="2"/>
  <c r="D111" i="2"/>
  <c r="C111" i="2"/>
  <c r="A111" i="2"/>
  <c r="F110" i="2"/>
  <c r="E110" i="2"/>
  <c r="D110" i="2"/>
  <c r="C110" i="2"/>
  <c r="A110" i="2"/>
  <c r="F109" i="2"/>
  <c r="E109" i="2"/>
  <c r="D109" i="2"/>
  <c r="C109" i="2"/>
  <c r="A109" i="2"/>
  <c r="F108" i="2"/>
  <c r="E108" i="2"/>
  <c r="D108" i="2"/>
  <c r="C108" i="2"/>
  <c r="A108" i="2"/>
  <c r="F107" i="2"/>
  <c r="E107" i="2"/>
  <c r="D107" i="2"/>
  <c r="C107" i="2"/>
  <c r="A107" i="2"/>
  <c r="F106" i="2"/>
  <c r="E106" i="2"/>
  <c r="D106" i="2"/>
  <c r="C106" i="2"/>
  <c r="A106" i="2"/>
  <c r="F105" i="2"/>
  <c r="E105" i="2"/>
  <c r="D105" i="2"/>
  <c r="C105" i="2"/>
  <c r="A105" i="2"/>
  <c r="F104" i="2"/>
  <c r="E104" i="2"/>
  <c r="D104" i="2"/>
  <c r="C104" i="2"/>
  <c r="A104" i="2"/>
  <c r="F103" i="2"/>
  <c r="E103" i="2"/>
  <c r="D103" i="2"/>
  <c r="C103" i="2"/>
  <c r="A103" i="2"/>
  <c r="F102" i="2"/>
  <c r="E102" i="2"/>
  <c r="D102" i="2"/>
  <c r="C102" i="2"/>
  <c r="A102" i="2"/>
  <c r="F101" i="2"/>
  <c r="E101" i="2"/>
  <c r="D101" i="2"/>
  <c r="C101" i="2"/>
  <c r="A101" i="2"/>
  <c r="F100" i="2"/>
  <c r="E100" i="2"/>
  <c r="D100" i="2"/>
  <c r="C100" i="2"/>
  <c r="A100" i="2"/>
  <c r="F99" i="2"/>
  <c r="E99" i="2"/>
  <c r="D99" i="2"/>
  <c r="C99" i="2"/>
  <c r="A99" i="2"/>
  <c r="F98" i="2"/>
  <c r="E98" i="2"/>
  <c r="D98" i="2"/>
  <c r="C98" i="2"/>
  <c r="A98" i="2"/>
  <c r="F97" i="2"/>
  <c r="E97" i="2"/>
  <c r="D97" i="2"/>
  <c r="C97" i="2"/>
  <c r="A97" i="2"/>
  <c r="F96" i="2"/>
  <c r="E96" i="2"/>
  <c r="D96" i="2"/>
  <c r="C96" i="2"/>
  <c r="A96" i="2"/>
  <c r="F95" i="2"/>
  <c r="E95" i="2"/>
  <c r="D95" i="2"/>
  <c r="C95" i="2"/>
  <c r="A95" i="2"/>
  <c r="F94" i="2"/>
  <c r="E94" i="2"/>
  <c r="D94" i="2"/>
  <c r="C94" i="2"/>
  <c r="A94" i="2"/>
  <c r="F93" i="2"/>
  <c r="E93" i="2"/>
  <c r="D93" i="2"/>
  <c r="C93" i="2"/>
  <c r="A93" i="2"/>
  <c r="F87" i="2"/>
  <c r="E87" i="2"/>
  <c r="D87" i="2"/>
  <c r="C87" i="2"/>
  <c r="A87" i="2"/>
  <c r="F86" i="2"/>
  <c r="E86" i="2"/>
  <c r="D86" i="2"/>
  <c r="C86" i="2"/>
  <c r="A86" i="2"/>
  <c r="F85" i="2"/>
  <c r="E85" i="2"/>
  <c r="D85" i="2"/>
  <c r="C85" i="2"/>
  <c r="A85" i="2"/>
  <c r="F84" i="2"/>
  <c r="E84" i="2"/>
  <c r="D84" i="2"/>
  <c r="C84" i="2"/>
  <c r="A84" i="2"/>
  <c r="F83" i="2"/>
  <c r="E83" i="2"/>
  <c r="D83" i="2"/>
  <c r="C83" i="2"/>
  <c r="A83" i="2"/>
  <c r="F82" i="2"/>
  <c r="E82" i="2"/>
  <c r="D82" i="2"/>
  <c r="C82" i="2"/>
  <c r="A82" i="2"/>
  <c r="F81" i="2"/>
  <c r="E81" i="2"/>
  <c r="D81" i="2"/>
  <c r="C81" i="2"/>
  <c r="A81" i="2"/>
  <c r="F80" i="2"/>
  <c r="E80" i="2"/>
  <c r="D80" i="2"/>
  <c r="C80" i="2"/>
  <c r="A80" i="2"/>
  <c r="F79" i="2"/>
  <c r="E79" i="2"/>
  <c r="D79" i="2"/>
  <c r="C79" i="2"/>
  <c r="A79" i="2"/>
  <c r="F78" i="2"/>
  <c r="E78" i="2"/>
  <c r="D78" i="2"/>
  <c r="C78" i="2"/>
  <c r="A78" i="2"/>
  <c r="F77" i="2"/>
  <c r="E77" i="2"/>
  <c r="D77" i="2"/>
  <c r="C77" i="2"/>
  <c r="A77" i="2"/>
  <c r="F76" i="2"/>
  <c r="E76" i="2"/>
  <c r="D76" i="2"/>
  <c r="C76" i="2"/>
  <c r="A76" i="2"/>
  <c r="F75" i="2"/>
  <c r="E75" i="2"/>
  <c r="D75" i="2"/>
  <c r="C75" i="2"/>
  <c r="A75" i="2"/>
  <c r="F74" i="2"/>
  <c r="E74" i="2"/>
  <c r="D74" i="2"/>
  <c r="C74" i="2"/>
  <c r="A74" i="2"/>
  <c r="F73" i="2"/>
  <c r="E73" i="2"/>
  <c r="D73" i="2"/>
  <c r="C73" i="2"/>
  <c r="A73" i="2"/>
  <c r="F72" i="2"/>
  <c r="E72" i="2"/>
  <c r="D72" i="2"/>
  <c r="C72" i="2"/>
  <c r="A72" i="2"/>
  <c r="F71" i="2"/>
  <c r="E71" i="2"/>
  <c r="D71" i="2"/>
  <c r="C71" i="2"/>
  <c r="A71" i="2"/>
  <c r="F70" i="2"/>
  <c r="E70" i="2"/>
  <c r="D70" i="2"/>
  <c r="C70" i="2"/>
  <c r="A70" i="2"/>
  <c r="F69" i="2"/>
  <c r="E69" i="2"/>
  <c r="D69" i="2"/>
  <c r="C69" i="2"/>
  <c r="A69" i="2"/>
  <c r="F68" i="2"/>
  <c r="E68" i="2"/>
  <c r="D68" i="2"/>
  <c r="C68" i="2"/>
  <c r="A68" i="2"/>
  <c r="F67" i="2"/>
  <c r="E67" i="2"/>
  <c r="D67" i="2"/>
  <c r="C67" i="2"/>
  <c r="A67" i="2"/>
  <c r="F66" i="2"/>
  <c r="E66" i="2"/>
  <c r="D66" i="2"/>
  <c r="C66" i="2"/>
  <c r="A66" i="2"/>
  <c r="F65" i="2"/>
  <c r="E65" i="2"/>
  <c r="D65" i="2"/>
  <c r="C65" i="2"/>
  <c r="A65" i="2"/>
  <c r="F64" i="2"/>
  <c r="E64" i="2"/>
  <c r="D64" i="2"/>
  <c r="C64" i="2"/>
  <c r="A64" i="2"/>
  <c r="F63" i="2"/>
  <c r="E63" i="2"/>
  <c r="D63" i="2"/>
  <c r="C63" i="2"/>
  <c r="A63" i="2"/>
  <c r="F57" i="2"/>
  <c r="E57" i="2"/>
  <c r="D57" i="2"/>
  <c r="C57" i="2"/>
  <c r="A57" i="2"/>
  <c r="F56" i="2"/>
  <c r="E56" i="2"/>
  <c r="D56" i="2"/>
  <c r="C56" i="2"/>
  <c r="A56" i="2"/>
  <c r="F55" i="2"/>
  <c r="E55" i="2"/>
  <c r="D55" i="2"/>
  <c r="C55" i="2"/>
  <c r="A55" i="2"/>
  <c r="F54" i="2"/>
  <c r="E54" i="2"/>
  <c r="D54" i="2"/>
  <c r="C54" i="2"/>
  <c r="A54" i="2"/>
  <c r="F53" i="2"/>
  <c r="E53" i="2"/>
  <c r="D53" i="2"/>
  <c r="C53" i="2"/>
  <c r="A53" i="2"/>
  <c r="F52" i="2"/>
  <c r="E52" i="2"/>
  <c r="D52" i="2"/>
  <c r="C52" i="2"/>
  <c r="A52" i="2"/>
  <c r="F51" i="2"/>
  <c r="E51" i="2"/>
  <c r="D51" i="2"/>
  <c r="C51" i="2"/>
  <c r="A51" i="2"/>
  <c r="F50" i="2"/>
  <c r="E50" i="2"/>
  <c r="D50" i="2"/>
  <c r="C50" i="2"/>
  <c r="A50" i="2"/>
  <c r="F49" i="2"/>
  <c r="E49" i="2"/>
  <c r="D49" i="2"/>
  <c r="C49" i="2"/>
  <c r="A49" i="2"/>
  <c r="F48" i="2"/>
  <c r="E48" i="2"/>
  <c r="D48" i="2"/>
  <c r="C48" i="2"/>
  <c r="A48" i="2"/>
  <c r="F47" i="2"/>
  <c r="E47" i="2"/>
  <c r="D47" i="2"/>
  <c r="C47" i="2"/>
  <c r="A47" i="2"/>
  <c r="F46" i="2"/>
  <c r="E46" i="2"/>
  <c r="D46" i="2"/>
  <c r="C46" i="2"/>
  <c r="A46" i="2"/>
  <c r="F45" i="2"/>
  <c r="E45" i="2"/>
  <c r="D45" i="2"/>
  <c r="C45" i="2"/>
  <c r="A45" i="2"/>
  <c r="F44" i="2"/>
  <c r="E44" i="2"/>
  <c r="D44" i="2"/>
  <c r="C44" i="2"/>
  <c r="A44" i="2"/>
  <c r="F43" i="2"/>
  <c r="E43" i="2"/>
  <c r="D43" i="2"/>
  <c r="C43" i="2"/>
  <c r="A43" i="2"/>
  <c r="F42" i="2"/>
  <c r="E42" i="2"/>
  <c r="D42" i="2"/>
  <c r="C42" i="2"/>
  <c r="A42" i="2"/>
  <c r="F41" i="2"/>
  <c r="E41" i="2"/>
  <c r="D41" i="2"/>
  <c r="C41" i="2"/>
  <c r="A41" i="2"/>
  <c r="F40" i="2"/>
  <c r="E40" i="2"/>
  <c r="D40" i="2"/>
  <c r="C40" i="2"/>
  <c r="A40" i="2"/>
  <c r="F39" i="2"/>
  <c r="E39" i="2"/>
  <c r="D39" i="2"/>
  <c r="C39" i="2"/>
  <c r="A39" i="2"/>
  <c r="F38" i="2"/>
  <c r="E38" i="2"/>
  <c r="D38" i="2"/>
  <c r="C38" i="2"/>
  <c r="A38" i="2"/>
  <c r="F37" i="2"/>
  <c r="E37" i="2"/>
  <c r="D37" i="2"/>
  <c r="C37" i="2"/>
  <c r="A37" i="2"/>
  <c r="F36" i="2"/>
  <c r="E36" i="2"/>
  <c r="D36" i="2"/>
  <c r="C36" i="2"/>
  <c r="A36" i="2"/>
  <c r="F35" i="2"/>
  <c r="E35" i="2"/>
  <c r="D35" i="2"/>
  <c r="C35" i="2"/>
  <c r="A35" i="2"/>
  <c r="F34" i="2"/>
  <c r="E34" i="2"/>
  <c r="D34" i="2"/>
  <c r="C34" i="2"/>
  <c r="A34" i="2"/>
  <c r="F33" i="2"/>
  <c r="E33" i="2"/>
  <c r="D33" i="2"/>
  <c r="C33" i="2"/>
  <c r="A33" i="2"/>
  <c r="F27" i="2"/>
  <c r="E27" i="2"/>
  <c r="D27" i="2"/>
  <c r="C27" i="2"/>
  <c r="A27" i="2"/>
  <c r="F26" i="2"/>
  <c r="E26" i="2"/>
  <c r="D26" i="2"/>
  <c r="C26" i="2"/>
  <c r="A26" i="2"/>
  <c r="F25" i="2"/>
  <c r="E25" i="2"/>
  <c r="D25" i="2"/>
  <c r="C25" i="2"/>
  <c r="A25" i="2"/>
  <c r="F24" i="2"/>
  <c r="E24" i="2"/>
  <c r="D24" i="2"/>
  <c r="C24" i="2"/>
  <c r="A24" i="2"/>
  <c r="F23" i="2"/>
  <c r="E23" i="2"/>
  <c r="D23" i="2"/>
  <c r="C23" i="2"/>
  <c r="A23" i="2"/>
  <c r="F22" i="2"/>
  <c r="E22" i="2"/>
  <c r="D22" i="2"/>
  <c r="C22" i="2"/>
  <c r="A22" i="2"/>
  <c r="F21" i="2"/>
  <c r="E21" i="2"/>
  <c r="D21" i="2"/>
  <c r="C21" i="2"/>
  <c r="A21" i="2"/>
  <c r="F20" i="2"/>
  <c r="E20" i="2"/>
  <c r="D20" i="2"/>
  <c r="C20" i="2"/>
  <c r="A20" i="2"/>
  <c r="F19" i="2"/>
  <c r="E19" i="2"/>
  <c r="D19" i="2"/>
  <c r="C19" i="2"/>
  <c r="A19" i="2"/>
  <c r="F18" i="2"/>
  <c r="E18" i="2"/>
  <c r="D18" i="2"/>
  <c r="C18" i="2"/>
  <c r="A18" i="2"/>
  <c r="F17" i="2"/>
  <c r="E17" i="2"/>
  <c r="D17" i="2"/>
  <c r="C17" i="2"/>
  <c r="A17" i="2"/>
  <c r="F16" i="2"/>
  <c r="E16" i="2"/>
  <c r="D16" i="2"/>
  <c r="C16" i="2"/>
  <c r="A16" i="2"/>
  <c r="F15" i="2"/>
  <c r="E15" i="2"/>
  <c r="D15" i="2"/>
  <c r="C15" i="2"/>
  <c r="A15" i="2"/>
  <c r="F14" i="2"/>
  <c r="E14" i="2"/>
  <c r="D14" i="2"/>
  <c r="C14" i="2"/>
  <c r="A14" i="2"/>
  <c r="F13" i="2"/>
  <c r="E13" i="2"/>
  <c r="D13" i="2"/>
  <c r="C13" i="2"/>
  <c r="A13" i="2"/>
  <c r="F12" i="2"/>
  <c r="E12" i="2"/>
  <c r="D12" i="2"/>
  <c r="C12" i="2"/>
  <c r="A12" i="2"/>
  <c r="F11" i="2"/>
  <c r="E11" i="2"/>
  <c r="D11" i="2"/>
  <c r="C11" i="2"/>
  <c r="A11" i="2"/>
  <c r="F10" i="2"/>
  <c r="E10" i="2"/>
  <c r="D10" i="2"/>
  <c r="C10" i="2"/>
  <c r="A10" i="2"/>
  <c r="F9" i="2"/>
  <c r="E9" i="2"/>
  <c r="D9" i="2"/>
  <c r="C9" i="2"/>
  <c r="A9" i="2"/>
  <c r="F8" i="2"/>
  <c r="E8" i="2"/>
  <c r="D8" i="2"/>
  <c r="C8" i="2"/>
  <c r="A8" i="2"/>
  <c r="F7" i="2"/>
  <c r="E7" i="2"/>
  <c r="D7" i="2"/>
  <c r="C7" i="2"/>
  <c r="A7" i="2"/>
  <c r="F6" i="2"/>
  <c r="E6" i="2"/>
  <c r="D6" i="2"/>
  <c r="C6" i="2"/>
  <c r="A6" i="2"/>
  <c r="F5" i="2"/>
  <c r="E5" i="2"/>
  <c r="D5" i="2"/>
  <c r="C5" i="2"/>
  <c r="A5" i="2"/>
  <c r="F4" i="2"/>
  <c r="E4" i="2"/>
  <c r="D4" i="2"/>
  <c r="C4" i="2"/>
  <c r="A4" i="2"/>
  <c r="F3" i="2"/>
  <c r="E3" i="2"/>
  <c r="D3" i="2"/>
  <c r="C3" i="2"/>
  <c r="A3" i="2"/>
</calcChain>
</file>

<file path=xl/sharedStrings.xml><?xml version="1.0" encoding="utf-8"?>
<sst xmlns="http://schemas.openxmlformats.org/spreadsheetml/2006/main" count="560" uniqueCount="376">
  <si>
    <t>Total TH</t>
  </si>
  <si>
    <t>Channel</t>
  </si>
  <si>
    <t>Price</t>
  </si>
  <si>
    <t>Region</t>
  </si>
  <si>
    <t>Packsize</t>
  </si>
  <si>
    <t>Total</t>
  </si>
  <si>
    <t>-44 bps</t>
  </si>
  <si>
    <t>-164 bps</t>
  </si>
  <si>
    <t>-121 bps</t>
  </si>
  <si>
    <t>-45 bps</t>
  </si>
  <si>
    <t>-87 bps</t>
  </si>
  <si>
    <t/>
  </si>
  <si>
    <t>14 bps</t>
  </si>
  <si>
    <t>-68 bps</t>
  </si>
  <si>
    <t>64 bps</t>
  </si>
  <si>
    <t>-109 bps</t>
  </si>
  <si>
    <t>111 bps</t>
  </si>
  <si>
    <t>92 bps</t>
  </si>
  <si>
    <t>35 bps</t>
  </si>
  <si>
    <t>4 bps</t>
  </si>
  <si>
    <t>172 bps</t>
  </si>
  <si>
    <t>52 bps</t>
  </si>
  <si>
    <t>-65 bps</t>
  </si>
  <si>
    <t>195 bps</t>
  </si>
  <si>
    <t>-177 bps</t>
  </si>
  <si>
    <t>-34 bps</t>
  </si>
  <si>
    <t>-47 bps</t>
  </si>
  <si>
    <t>242 bps</t>
  </si>
  <si>
    <t>-85 bps</t>
  </si>
  <si>
    <t>139 bps</t>
  </si>
  <si>
    <t>117 bps</t>
  </si>
  <si>
    <t>-59 bps</t>
  </si>
  <si>
    <t>8 bps</t>
  </si>
  <si>
    <t>-237 bps</t>
  </si>
  <si>
    <t>-49 bps</t>
  </si>
  <si>
    <t>-17 bps</t>
  </si>
  <si>
    <t>231 bps</t>
  </si>
  <si>
    <t>24 bps</t>
  </si>
  <si>
    <t>189 bps</t>
  </si>
  <si>
    <t>71 bps</t>
  </si>
  <si>
    <t>0 bps</t>
  </si>
  <si>
    <t>40 bps</t>
  </si>
  <si>
    <t>162 bps</t>
  </si>
  <si>
    <t>266 bps</t>
  </si>
  <si>
    <t>27 bps</t>
  </si>
  <si>
    <t>47 bps</t>
  </si>
  <si>
    <t>79 bps</t>
  </si>
  <si>
    <t>-173 bps</t>
  </si>
  <si>
    <t>-64 bps</t>
  </si>
  <si>
    <t>5 bps</t>
  </si>
  <si>
    <t>275 bps</t>
  </si>
  <si>
    <t>31 bps</t>
  </si>
  <si>
    <t>-52 bps</t>
  </si>
  <si>
    <t>-18 bps</t>
  </si>
  <si>
    <t>-41 bps</t>
  </si>
  <si>
    <t>-7 bps</t>
  </si>
  <si>
    <t>3 bps</t>
  </si>
  <si>
    <t>32 bps</t>
  </si>
  <si>
    <t>-14 bps</t>
  </si>
  <si>
    <t>163 bps</t>
  </si>
  <si>
    <t>-2 bps</t>
  </si>
  <si>
    <t>-137 bps</t>
  </si>
  <si>
    <t>-202 bps</t>
  </si>
  <si>
    <t>-270 bps</t>
  </si>
  <si>
    <t>-70 bps</t>
  </si>
  <si>
    <t>-182 bps</t>
  </si>
  <si>
    <t>39 bps</t>
  </si>
  <si>
    <t>132 bps</t>
  </si>
  <si>
    <t>-54 bps</t>
  </si>
  <si>
    <t>74 bps</t>
  </si>
  <si>
    <t>-77 bps</t>
  </si>
  <si>
    <t>1 bps</t>
  </si>
  <si>
    <t>-28 bps</t>
  </si>
  <si>
    <t>-254 bps</t>
  </si>
  <si>
    <t>260 bps</t>
  </si>
  <si>
    <t>34 bps</t>
  </si>
  <si>
    <t>225 bps</t>
  </si>
  <si>
    <t>-157 bps</t>
  </si>
  <si>
    <t>-20 bps</t>
  </si>
  <si>
    <t>SH CHAIN</t>
  </si>
  <si>
    <t>Tier1</t>
  </si>
  <si>
    <t>GBKK</t>
  </si>
  <si>
    <t>S</t>
  </si>
  <si>
    <t>SH Online</t>
  </si>
  <si>
    <t>Tier2</t>
  </si>
  <si>
    <t>CENTRAL</t>
  </si>
  <si>
    <t>M</t>
  </si>
  <si>
    <t>OT</t>
  </si>
  <si>
    <t>Tier3</t>
  </si>
  <si>
    <t>NORTH</t>
  </si>
  <si>
    <t>L</t>
  </si>
  <si>
    <t>LMT</t>
  </si>
  <si>
    <t>Tier4</t>
  </si>
  <si>
    <t>NORTHEAST</t>
  </si>
  <si>
    <t>XL</t>
  </si>
  <si>
    <t>CVS</t>
  </si>
  <si>
    <t>SOUTH</t>
  </si>
  <si>
    <t>XXL</t>
  </si>
  <si>
    <t>Powder</t>
  </si>
  <si>
    <t>LIQUID</t>
  </si>
  <si>
    <t>FAB ENH</t>
  </si>
  <si>
    <t>DW</t>
  </si>
  <si>
    <t>Dimension</t>
  </si>
  <si>
    <t>Label</t>
  </si>
  <si>
    <t>BPS</t>
  </si>
  <si>
    <t>POWDER — Decomposition source (raw shares)</t>
  </si>
  <si>
    <t>Block</t>
  </si>
  <si>
    <t>Share%</t>
  </si>
  <si>
    <t>Growth%</t>
  </si>
  <si>
    <t>LIQUID — Decomposition source (raw shares)</t>
  </si>
  <si>
    <t>FAB ENH — Decomposition source (raw shares)</t>
  </si>
  <si>
    <t>DW — Decomposition source (raw shares)</t>
  </si>
  <si>
    <t>SKILL: Columnar Marimekko Decomposition Chart</t>
  </si>
  <si>
    <t>version 2.0.0  |  paste-ready reference for colleagues</t>
  </si>
  <si>
    <t>1. WORKBOOK PREREQUISITES</t>
  </si>
  <si>
    <t>Define these in Name Manager, one set per product category. Ranges INCLUDE the header row.</t>
  </si>
  <si>
    <t>cont_&lt;product&gt;          e.g. cont_powder         -&gt;  Sheet1!$G$2:$K$7    (share proportions)</t>
  </si>
  <si>
    <t>bps_&lt;product&gt;           e.g. bps_powder          -&gt;  Sheet1!$M$2:$Q$7    (variance in bps, TEXT)</t>
  </si>
  <si>
    <t>growth_pct_&lt;product&gt;    e.g. growth_pct_powder   -&gt;  Sheet1!$S$2:$W$7    (growth rates)</t>
  </si>
  <si>
    <t>label_&lt;product&gt;         e.g. label_powder        -&gt;  Sheet1!$A$2:$E$7    (Excel Table)</t>
  </si>
  <si>
    <t>Layout: 5 dimension columns wide x 5 block rows tall. Products here: powder, liquid, fab_en, dish.</t>
  </si>
  <si>
    <t>2. THE THREE RULES THAT DECIDE CORRECTNESS</t>
  </si>
  <si>
    <t>Each of these caused a visibly wrong chart during development. Read before writing any code.</t>
  </si>
  <si>
    <t>RULE 1 - DO NOT RENORMALIZE THE SHARES</t>
  </si>
  <si>
    <t>cont_* is ALREADY internally consistent: every dimension column sums to the Total TH value.</t>
  </si>
  <si>
    <t>Verified from this workbook:</t>
  </si>
  <si>
    <t xml:space="preserve">   Category    TotalTH   Channel   Price   Region   Packsize</t>
  </si>
  <si>
    <t xml:space="preserve">   POWDER       51.79     51.79    51.79    51.79     51.79</t>
  </si>
  <si>
    <t xml:space="preserve">   LIQUID       39.37     39.37    39.31    39.37     39.37</t>
  </si>
  <si>
    <t xml:space="preserve">   FAB ENH      14.30     14.30    14.30    14.30     14.27</t>
  </si>
  <si>
    <t xml:space="preserve">   DW           62.10     62.10    62.10    62.10     62.10</t>
  </si>
  <si>
    <t>That equality IS the meaning of the chart: Channel/Price/Region/Packsize are four</t>
  </si>
  <si>
    <t>alternative cuts of the same total.</t>
  </si>
  <si>
    <t xml:space="preserve">   height = raw_share * scale                     &lt;- CORRECT</t>
  </si>
  <si>
    <t xml:space="preserve">   height = raw_share / sum(col_shares) * 100     &lt;- WRONG, inflates every block</t>
  </si>
  <si>
    <t>The v1.0.0 script in circulation contains 'total_share = sum(col_shares)' and divides by it.</t>
  </si>
  <si>
    <t>DELETE THAT LINE. It is the most common defect. Symptom: POWDER SH CHAIN renders 22.2%</t>
  </si>
  <si>
    <t>instead of its true 11.5%.</t>
  </si>
  <si>
    <t>Scale from the largest column total, not from 100:</t>
  </si>
  <si>
    <t xml:space="preserve">   max_total = max(sum of shares in each dimension);  scale = PLOT_HEIGHT / max_total</t>
  </si>
  <si>
    <t>RULE 2 - bps_* VALUES ARE TEXT, NOT NUMBERS</t>
  </si>
  <si>
    <t>Stored as "-164 bps", "14 bps". A raw &gt;= 0 test on a string does not work. Parse first.</t>
  </si>
  <si>
    <t>Excel:</t>
  </si>
  <si>
    <t xml:space="preserve">   =IFERROR(IF(TRIM(Sheet1!N3)="","",VALUE(SUBSTITUTE(SUBSTITUTE(Sheet1!N3," bps",""),",",""))),"")</t>
  </si>
  <si>
    <t>Python:</t>
  </si>
  <si>
    <t xml:space="preserve">   bps = int(round(float(re.sub(r"[^\d\-+.]", "", str(raw))))) if str(raw).strip() else None</t>
  </si>
  <si>
    <t>RULE 3 - DISTINGUISH BLANK FROM ZERO</t>
  </si>
  <si>
    <t>Some cells are genuinely empty (DW Tier4 bps, FAB ENH Tier1 share), not zero.</t>
  </si>
  <si>
    <t>Never coerce blank to '0 bps': it fabricates a reading, and 0 &gt;= 0 paints the block GREEN,</t>
  </si>
  <si>
    <t>implying growth the data does not support. Render 'n/a' in neutral grey instead.</t>
  </si>
  <si>
    <t>Zero-share blocks have no height and are simply not drawn. This is correct: FAB ENH</t>
  </si>
  <si>
    <t>legitimately shows 4 Channel blocks, 2 Price blocks, 3 Packsize blocks.</t>
  </si>
  <si>
    <t>3. METHOD A - PYTHON IN EXCEL (=PY)  &lt;- copy-paste path</t>
  </si>
  <si>
    <t>Type =PY( in a cell, then paste the script from the SKILL_PY sheet.</t>
  </si>
  <si>
    <t>Requires Python in Excel (Microsoft 365, connected). If you get #NAME? or #BUSY!,</t>
  </si>
  <si>
    <t>Python in Excel is unavailable - use Method B instead.</t>
  </si>
  <si>
    <t>NOTE: this script is written to the documented API but was NOT verified in this environment.</t>
  </si>
  <si>
    <t>Growth units: assumes growth_pct_* holds fractions (-0.0338 = -3.4%) and multiplies by 100.</t>
  </si>
  <si>
    <t>If yours already holds -3.38, drop the *100.</t>
  </si>
  <si>
    <t>4. METHOD B - OFFICE.JS SHAPES (no Python required)</t>
  </si>
  <si>
    <t>Draws grouped rectangles + text boxes. Produces exactly the charts on the Decomposition sheet.</t>
  </si>
  <si>
    <t>Full code on the SKILL_JS sheet. Three steps:</t>
  </si>
  <si>
    <t xml:space="preserve">   Step 1  Build the 25-row staging block per category (formulas below)</t>
  </si>
  <si>
    <t xml:space="preserve">   Step 2  Run the draw script (set SRC + PREFIX per category)</t>
  </si>
  <si>
    <t xml:space="preserve">   Step 3  Run the group script separately, AFTER step 2 syncs</t>
  </si>
  <si>
    <t>Step 1 staging formulas - POWDER at A3:F27, source row 3, dimension column G/M/A/S:</t>
  </si>
  <si>
    <t xml:space="preserve">   A Dimension  =Sheet1!G2</t>
  </si>
  <si>
    <t xml:space="preserve">   C Share%     =IFERROR(N(Sheet1!G3)*100,0)</t>
  </si>
  <si>
    <t xml:space="preserve">   D Label      =IF(TRIM(Sheet1!A3)="","",Sheet1!A3)</t>
  </si>
  <si>
    <t xml:space="preserve">   E BPS        =IFERROR(IF(TRIM(Sheet1!M3)="","",VALUE(SUBSTITUTE(SUBSTITUTE(Sheet1!M3," bps",""),",",""))),"")</t>
  </si>
  <si>
    <t xml:space="preserve">   F Growth%    =IFERROR(IF(Sheet1!S3="","",N(Sheet1!S3)*100),"")</t>
  </si>
  <si>
    <t>Advance source row 3-&gt;7 for the 5 blocks; shift source column G-&gt;K (share), M-&gt;Q (bps),</t>
  </si>
  <si>
    <t>A-&gt;E (label), S-&gt;W (growth) for the 5 dimensions.</t>
  </si>
  <si>
    <t>Sanity check - every dimension must return the same figure:</t>
  </si>
  <si>
    <t xml:space="preserve">   =SUM(C3:C7)    Total TH</t>
  </si>
  <si>
    <t xml:space="preserve">   =SUM(C8:C12)   Channel   &lt;- must equal Total TH</t>
  </si>
  <si>
    <t>Staging ranges used in this workbook:</t>
  </si>
  <si>
    <t xml:space="preserve">   POWDER  A3:F27      LIQUID  A33:F57      FAB ENH  A63:F87      DW  A93:F117</t>
  </si>
  <si>
    <t>Prefixes / group names:  pw / POWDER_Decomposition,  lq / LIQUID_Decomposition,</t>
  </si>
  <si>
    <t xml:space="preserve">                         fb / FAB_ENH_Decomposition, dw / DW_Decomposition</t>
  </si>
  <si>
    <t>5. OFFICE.JS GOTCHAS (each cost a failed run)</t>
  </si>
  <si>
    <t xml:space="preserve">   InvalidArgument at ShapeLineFormat.weight  -&gt; omit it; set lineFormat.color only</t>
  </si>
  <si>
    <t xml:space="preserve">   ItemNotFound at ShapeCollection.addGroup   -&gt; pass shape OBJECTS, not name strings</t>
  </si>
  <si>
    <t xml:space="preserve">   Script times out, workbook half-written    -&gt; batch array writes; split into smaller runs</t>
  </si>
  <si>
    <t xml:space="preserve">   foregroundColor reads back null            -&gt; not readable on chart points; verify visually</t>
  </si>
  <si>
    <t xml:space="preserve">   Chart overlaps data                        -&gt; shapes are sheet-positioned, not cell-anchored;</t>
  </si>
  <si>
    <t xml:space="preserve">                                                 set X0 past the data's right edge in points</t>
  </si>
  <si>
    <t>6. VERIFICATION CHECKLIST</t>
  </si>
  <si>
    <t xml:space="preserve">   1. Equal totals: =SUM(C3:C7) = =SUM(C8:C12) = ... for all 5 dimensions.</t>
  </si>
  <si>
    <t xml:space="preserve">   2. Equal column bottoms: all 5 columns end at the same Y. Sub-2pt differences are</t>
  </si>
  <si>
    <t xml:space="preserve">      source rounding (FAB ENH Packsize 14.27 vs 14.30), not a drawing bug.</t>
  </si>
  <si>
    <t xml:space="preserve">   3. Spot-check one block: POWDER SH CHAIN must read 11.5% / -164 bps / -14.7%.</t>
  </si>
  <si>
    <t xml:space="preserve">      If it reads 22.2%, Rule 1 was violated.</t>
  </si>
  <si>
    <t xml:space="preserve">   4. No fabricated zeros: blanks show 'n/a' in neutral grey, never green.</t>
  </si>
  <si>
    <t>7. KNOWN LIMITATIONS</t>
  </si>
  <si>
    <t xml:space="preserve">   - Shape geometry is computed at draw time, not formula-driven. Excel shapes have no</t>
  </si>
  <si>
    <t xml:space="preserve">     formula-bound position, so re-run after source data changes. The staging cells ARE live.</t>
  </si>
  <si>
    <t xml:space="preserve">   - Badges suppressed on blocks under 22pt (labels under 26pt) - no room for text.</t>
  </si>
  <si>
    <t xml:space="preserve">     Small segments like POWDER SH ONLINE (0.6%) render as a bare coloured sliver.</t>
  </si>
  <si>
    <t xml:space="preserve">   - Native Excel chart types cannot do this: no per-block corner badges, no variable</t>
  </si>
  <si>
    <t xml:space="preserve">     column widths. Shapes or matplotlib are the only options.</t>
  </si>
  <si>
    <t xml:space="preserve">   - True Marimekko varies column WIDTH by weight too. Both methods here use equal widths</t>
  </si>
  <si>
    <t xml:space="preserve">     (height-only encoding), matching the reference design.</t>
  </si>
  <si>
    <t>Colours: positive #1B8129 (green), negative #D81E3A (red), blank #9CA3AF (neutral),</t>
  </si>
  <si>
    <t>dimension headers #0284C7 (blue).</t>
  </si>
  <si>
    <t># SKILL - Method A: Python in Excel (=PY)</t>
  </si>
  <si>
    <t># Type =PY( in a cell, then paste everything below.</t>
  </si>
  <si>
    <t># Requires Python in Excel. #NAME? or #BUSY! means it is unavailable -&gt; use Method B.</t>
  </si>
  <si>
    <t># NOT verified in this environment - written to the documented API.</t>
  </si>
  <si>
    <t>import matplotlib.pyplot as plt</t>
  </si>
  <si>
    <t>import pandas as pd</t>
  </si>
  <si>
    <t>import numpy as np</t>
  </si>
  <si>
    <t>import re</t>
  </si>
  <si>
    <t>category = "powder"          # powder | liquid | fab_en | dish</t>
  </si>
  <si>
    <t>shares_df = xl(f"cont_{category}", headers=True)</t>
  </si>
  <si>
    <t>bps_df    = xl(f"bps_{category}", headers=True)</t>
  </si>
  <si>
    <t>growth_df = xl(f"growth_pct_{category}", headers=True)</t>
  </si>
  <si>
    <t>labels_df = xl(f"label_{category}", headers=True)</t>
  </si>
  <si>
    <t>columns = list(shares_df.columns)</t>
  </si>
  <si>
    <t>POS, NEG, NEUTRAL = "#1b8129", "#d81e3a", "#9ca3af"</t>
  </si>
  <si>
    <t>def to_bps(v):</t>
  </si>
  <si>
    <t xml:space="preserve">    """RULE 2 + RULE 3: parse '-164 bps' -&gt; -164; blank -&gt; None."""</t>
  </si>
  <si>
    <t xml:space="preserve">    s = "" if v is None else str(v).strip()</t>
  </si>
  <si>
    <t xml:space="preserve">    if s == "" or s.lower() == "nan":</t>
  </si>
  <si>
    <t xml:space="preserve">        return None</t>
  </si>
  <si>
    <t xml:space="preserve">    c = re.sub(r"[^\d\-+.]", "", s)</t>
  </si>
  <si>
    <t xml:space="preserve">    return int(round(float(c))) if c not in ("", "-", "+", ".") else None</t>
  </si>
  <si>
    <t>def to_num(v):</t>
  </si>
  <si>
    <t xml:space="preserve">    try:</t>
  </si>
  <si>
    <t xml:space="preserve">        f = float(v)</t>
  </si>
  <si>
    <t xml:space="preserve">        return None if pd.isna(f) else f</t>
  </si>
  <si>
    <t xml:space="preserve">    except (TypeError, ValueError):</t>
  </si>
  <si>
    <t># RULE 1: scale from the largest column total. NO renormalisation.</t>
  </si>
  <si>
    <t>col_totals = [sum(to_num(v) or 0.0 for v in shares_df[c]) for c in columns]</t>
  </si>
  <si>
    <t>max_total = max(col_totals) or 1.0</t>
  </si>
  <si>
    <t>fig, ax = plt.subplots(figsize=(12, 7), dpi=150)</t>
  </si>
  <si>
    <t>COL_W = 1.0                                  # width 1.0 =&gt; columns sit flush</t>
  </si>
  <si>
    <t>for ci, cname in enumerate(columns):</t>
  </si>
  <si>
    <t xml:space="preserve">    y = 0.0</t>
  </si>
  <si>
    <t xml:space="preserve">    for ri in range(len(shares_df)):</t>
  </si>
  <si>
    <t xml:space="preserve">        share = to_num(shares_df[cname].iloc[ri])</t>
  </si>
  <si>
    <t xml:space="preserve">        if not share or share &lt;= 0:</t>
  </si>
  <si>
    <t xml:space="preserve">            continue                          # RULE 3: zero/blank -&gt; no block</t>
  </si>
  <si>
    <t xml:space="preserve">        bps    = to_bps(bps_df[cname].iloc[ri])    if cname in bps_df    else None</t>
  </si>
  <si>
    <t xml:space="preserve">        growth = to_num(growth_df[cname].iloc[ri]) if cname in growth_df else None</t>
  </si>
  <si>
    <t xml:space="preserve">        label  = labels_df[cname].iloc[ri]         if cname in labels_df else ""</t>
  </si>
  <si>
    <t xml:space="preserve">        label  = "" if pd.isna(label) else str(label).upper()</t>
  </si>
  <si>
    <t xml:space="preserve">        color = NEUTRAL if bps is None else (POS if bps &gt;= 0 else NEG)</t>
  </si>
  <si>
    <t xml:space="preserve">        h = share                              # raw share</t>
  </si>
  <si>
    <t xml:space="preserve">        ax.bar(ci, h, bottom=y, width=COL_W,</t>
  </si>
  <si>
    <t xml:space="preserve">               color=color, edgecolor="white", linewidth=1.5)</t>
  </si>
  <si>
    <t xml:space="preserve">        frac = h / max_total</t>
  </si>
  <si>
    <t xml:space="preserve">        if frac &gt;= 0.045:</t>
  </si>
  <si>
    <t xml:space="preserve">            ax.text(ci, y + h/2, f"{share:.1f}%\n{label}", ha="center", va="center",</t>
  </si>
  <si>
    <t xml:space="preserve">                    color="white", weight="bold", fontsize=10 if frac &lt; 0.10 else 13)</t>
  </si>
  <si>
    <t xml:space="preserve">            g_txt = "n/a" if growth is None else f"{'+' if growth &gt; 0 else ''}{growth*100:.1f}%"</t>
  </si>
  <si>
    <t xml:space="preserve">            ax.text(ci - COL_W/2 + 0.02, y + h - max_total*0.008, g_txt,</t>
  </si>
  <si>
    <t xml:space="preserve">                    ha="left", va="top", color="#1a1a1a", weight="bold", fontsize=7.5,</t>
  </si>
  <si>
    <t xml:space="preserve">                    bbox=dict(boxstyle="round,pad=0.2", fc="white", ec="none"))</t>
  </si>
  <si>
    <t xml:space="preserve">            b_txt = "n/a" if bps is None else f"{bps} bps"</t>
  </si>
  <si>
    <t xml:space="preserve">            ax.text(ci + COL_W/2 - 0.02, y + h - max_total*0.008, b_txt,</t>
  </si>
  <si>
    <t xml:space="preserve">                    ha="right", va="top", color="white", weight="bold", fontsize=7.5)</t>
  </si>
  <si>
    <t xml:space="preserve">        y += h</t>
  </si>
  <si>
    <t>ax.set_xticks(range(len(columns)))</t>
  </si>
  <si>
    <t>ax.set_xticklabels(columns, fontweight="bold", fontsize=13, color="#0284c7")</t>
  </si>
  <si>
    <t>ax.set_xlim(-0.5, len(columns) - 0.5)</t>
  </si>
  <si>
    <t>ax.set_ylim(0, max_total)</t>
  </si>
  <si>
    <t>ax.set_yticks([])</t>
  </si>
  <si>
    <t>for sp in ax.spines.values():</t>
  </si>
  <si>
    <t xml:space="preserve">    sp.set_visible(False)</t>
  </si>
  <si>
    <t>ax.tick_params(axis="x", length=0)</t>
  </si>
  <si>
    <t>plt.tight_layout()</t>
  </si>
  <si>
    <t>fig</t>
  </si>
  <si>
    <t>// SKILL - Method B: Office.js shapes (no Python required)</t>
  </si>
  <si>
    <t>// STEP 2 of 3. Run STEP 3 (grouping, at the bottom) separately afterwards.</t>
  </si>
  <si>
    <t>// Set SRC, PREFIX and TITLE per category, then run once per category.</t>
  </si>
  <si>
    <t>await Excel.run(async (context) =&gt; {</t>
  </si>
  <si>
    <t xml:space="preserve">    const SHEET  = "Decomposition";</t>
  </si>
  <si>
    <t xml:space="preserve">    const SRC    = "A3:F27";     // A33:F57 liquid | A63:F87 fab_en | A93:F117 dish</t>
  </si>
  <si>
    <t xml:space="preserve">    const PREFIX = "pw";         // lq | fb | dw</t>
  </si>
  <si>
    <t xml:space="preserve">    const TITLE  = "POWDER \u2014 Columnar Marimekko Decomposition";</t>
  </si>
  <si>
    <t xml:space="preserve">    const X0 = 539, Y0 = 20;     // X0 must clear your data columns (in points)</t>
  </si>
  <si>
    <t xml:space="preserve">    const COL_W = 150, GAP = 0, PLOT_H = 620;   // GAP 0 =&gt; flush columns</t>
  </si>
  <si>
    <t xml:space="preserve">    const POS = "#1B8129", NEG = "#D81E3A", NEUTRAL = "#9CA3AF";</t>
  </si>
  <si>
    <t xml:space="preserve">    const sheet = context.workbook.worksheets.getItem(SHEET);</t>
  </si>
  <si>
    <t xml:space="preserve">    const src = sheet.getRange(SRC);</t>
  </si>
  <si>
    <t xml:space="preserve">    src.load("values");</t>
  </si>
  <si>
    <t xml:space="preserve">    await context.sync();</t>
  </si>
  <si>
    <t xml:space="preserve">    const rows = src.values;</t>
  </si>
  <si>
    <t xml:space="preserve">    const dims = ["Total TH", "Channel", "Price", "Region", "Packsize"];</t>
  </si>
  <si>
    <t xml:space="preserve">    // RULE 1: scale from largest column total. NO renormalisation.</t>
  </si>
  <si>
    <t xml:space="preserve">    let maxTotal = 0;</t>
  </si>
  <si>
    <t xml:space="preserve">    dims.forEach((d, di) =&gt; {</t>
  </si>
  <si>
    <t xml:space="preserve">        let t = 0;</t>
  </si>
  <si>
    <t xml:space="preserve">        for (let b = 0; b &lt; 5; b++) t += Number(rows[di * 5 + b][2]) || 0;</t>
  </si>
  <si>
    <t xml:space="preserve">        if (t &gt; maxTotal) maxTotal = t;</t>
  </si>
  <si>
    <t xml:space="preserve">    });</t>
  </si>
  <si>
    <t xml:space="preserve">    const scale = PLOT_H / maxTotal;</t>
  </si>
  <si>
    <t xml:space="preserve">    dims.forEach((dim, di) =&gt; {</t>
  </si>
  <si>
    <t xml:space="preserve">        const x = X0 + di * (COL_W + GAP);</t>
  </si>
  <si>
    <t xml:space="preserve">        let y = Y0;</t>
  </si>
  <si>
    <t xml:space="preserve">        for (let b = 0; b &lt; 5; b++) {</t>
  </si>
  <si>
    <t xml:space="preserve">            const row = rows[di * 5 + b];</t>
  </si>
  <si>
    <t xml:space="preserve">            const share = Number(row[2]) || 0;</t>
  </si>
  <si>
    <t xml:space="preserve">            if (share &lt;= 0) continue;                  // RULE 3</t>
  </si>
  <si>
    <t xml:space="preserve">            const label = row[3], bps = row[4], growth = row[5];</t>
  </si>
  <si>
    <t xml:space="preserve">            const h = share * scale;</t>
  </si>
  <si>
    <t xml:space="preserve">            const hasBps = typeof bps === "number";</t>
  </si>
  <si>
    <t xml:space="preserve">            const rect = sheet.shapes.addGeometricShape(Excel.GeometricShapeType.rectangle);</t>
  </si>
  <si>
    <t xml:space="preserve">            rect.left = x; rect.top = y; rect.width = COL_W; rect.height = h;</t>
  </si>
  <si>
    <t xml:space="preserve">            rect.fill.setSolidColor(!hasBps ? NEUTRAL : (bps &gt;= 0 ? POS : NEG));</t>
  </si>
  <si>
    <t xml:space="preserve">            rect.lineFormat.color = "#FFFFFF";         // do NOT set lineFormat.weight</t>
  </si>
  <si>
    <t xml:space="preserve">            rect.name = PREFIX + "_" + di + "_" + b;</t>
  </si>
  <si>
    <t xml:space="preserve">            if (h &gt;= 26) {</t>
  </si>
  <si>
    <t xml:space="preserve">                const tf = rect.textFrame;</t>
  </si>
  <si>
    <t xml:space="preserve">                tf.textRange.text = share.toFixed(1) + "%\n" + String(label).toUpperCase();</t>
  </si>
  <si>
    <t xml:space="preserve">                tf.textRange.font.color = "#FFFFFF";</t>
  </si>
  <si>
    <t xml:space="preserve">                tf.textRange.font.bold = true;</t>
  </si>
  <si>
    <t xml:space="preserve">                tf.textRange.font.size = h &gt;= 60 ? 14 : 10;</t>
  </si>
  <si>
    <t xml:space="preserve">                tf.horizontalAlignment = "Center";</t>
  </si>
  <si>
    <t xml:space="preserve">                tf.verticalAlignment = "Middle";</t>
  </si>
  <si>
    <t xml:space="preserve">            }</t>
  </si>
  <si>
    <t xml:space="preserve">            if (h &gt;= 22) {</t>
  </si>
  <si>
    <t xml:space="preserve">                const g = sheet.shapes.addTextBox(</t>
  </si>
  <si>
    <t xml:space="preserve">                    typeof growth === "number"</t>
  </si>
  <si>
    <t xml:space="preserve">                        ? (growth &gt; 0 ? "+" : "") + growth.toFixed(1) + "%" : "n/a");</t>
  </si>
  <si>
    <t xml:space="preserve">                g.left = x + 3; g.top = y + 3; g.width = 52; g.height = 15;</t>
  </si>
  <si>
    <t xml:space="preserve">                g.fill.setSolidColor("#FFFFFF");</t>
  </si>
  <si>
    <t xml:space="preserve">                g.lineFormat.color = "#FFFFFF";</t>
  </si>
  <si>
    <t xml:space="preserve">                g.textFrame.textRange.font.size = 8;</t>
  </si>
  <si>
    <t xml:space="preserve">                g.textFrame.textRange.font.bold = true;</t>
  </si>
  <si>
    <t xml:space="preserve">                g.textFrame.textRange.font.color = "#1A1A1A";</t>
  </si>
  <si>
    <t xml:space="preserve">                g.textFrame.horizontalAlignment = "Center";</t>
  </si>
  <si>
    <t xml:space="preserve">                g.textFrame.verticalAlignment = "Middle";</t>
  </si>
  <si>
    <t xml:space="preserve">                g.name = PREFIX + "g_" + di + "_" + b;</t>
  </si>
  <si>
    <t xml:space="preserve">                const t = sheet.shapes.addTextBox(hasBps ? bps + " bps" : "n/a");</t>
  </si>
  <si>
    <t xml:space="preserve">                t.left = x + COL_W - 58; t.top = y + 3; t.width = 55; t.height = 15;</t>
  </si>
  <si>
    <t xml:space="preserve">                t.fill.clear();</t>
  </si>
  <si>
    <t xml:space="preserve">                t.lineFormat.visible = false;</t>
  </si>
  <si>
    <t xml:space="preserve">                t.textFrame.textRange.font.size = 8;</t>
  </si>
  <si>
    <t xml:space="preserve">                t.textFrame.textRange.font.bold = true;</t>
  </si>
  <si>
    <t xml:space="preserve">                t.textFrame.textRange.font.color = "#FFFFFF";</t>
  </si>
  <si>
    <t xml:space="preserve">                t.textFrame.horizontalAlignment = "Right";</t>
  </si>
  <si>
    <t xml:space="preserve">                t.textFrame.verticalAlignment = "Middle";</t>
  </si>
  <si>
    <t xml:space="preserve">                t.name = PREFIX + "b_" + di + "_" + b;</t>
  </si>
  <si>
    <t xml:space="preserve">            y += h;</t>
  </si>
  <si>
    <t xml:space="preserve">        }</t>
  </si>
  <si>
    <t xml:space="preserve">        const hd = sheet.shapes.addTextBox(dim);</t>
  </si>
  <si>
    <t xml:space="preserve">        hd.left = x; hd.top = Y0 + PLOT_H + 10; hd.width = COL_W; hd.height = 26;</t>
  </si>
  <si>
    <t xml:space="preserve">        hd.fill.clear();</t>
  </si>
  <si>
    <t xml:space="preserve">        hd.lineFormat.visible = false;</t>
  </si>
  <si>
    <t xml:space="preserve">        hd.textFrame.textRange.font.size = 15;</t>
  </si>
  <si>
    <t xml:space="preserve">        hd.textFrame.textRange.font.bold = true;</t>
  </si>
  <si>
    <t xml:space="preserve">        hd.textFrame.textRange.font.color = "#0284C7";</t>
  </si>
  <si>
    <t xml:space="preserve">        hd.textFrame.horizontalAlignment = "Center";</t>
  </si>
  <si>
    <t xml:space="preserve">        hd.name = PREFIX + "h_" + di;</t>
  </si>
  <si>
    <t xml:space="preserve">    const title = sheet.shapes.addTextBox(TITLE);</t>
  </si>
  <si>
    <t xml:space="preserve">    title.left = X0; title.top = Y0 - 22; title.width = COL_W * 5; title.height = 20;</t>
  </si>
  <si>
    <t xml:space="preserve">    title.fill.clear();</t>
  </si>
  <si>
    <t xml:space="preserve">    title.lineFormat.visible = false;</t>
  </si>
  <si>
    <t xml:space="preserve">    title.textFrame.textRange.font.size = 13;</t>
  </si>
  <si>
    <t xml:space="preserve">    title.textFrame.textRange.font.bold = true;</t>
  </si>
  <si>
    <t xml:space="preserve">    title.textFrame.horizontalAlignment = "Center";</t>
  </si>
  <si>
    <t xml:space="preserve">    title.name = PREFIX + "_title";</t>
  </si>
  <si>
    <t xml:space="preserve">    return "drawn";</t>
  </si>
  <si>
    <t>});</t>
  </si>
  <si>
    <t>// ---------------------------------------------------------------------------</t>
  </si>
  <si>
    <t>// STEP 3 - GROUP (the Ctrl+G equivalent). Run this AFTER step 2 has synced.</t>
  </si>
  <si>
    <t xml:space="preserve">    const PREFIX = "pw", GROUP_NAME = "POWDER_Decomposition";</t>
  </si>
  <si>
    <t xml:space="preserve">    const sheet = context.workbook.worksheets.getItem("Decomposition");</t>
  </si>
  <si>
    <t xml:space="preserve">    const shapes = sheet.shapes;</t>
  </si>
  <si>
    <t xml:space="preserve">    shapes.load("items/name");</t>
  </si>
  <si>
    <t xml:space="preserve">    // Pass shape OBJECTS, not name strings (names throw ItemNotFound).</t>
  </si>
  <si>
    <t xml:space="preserve">    const group = sheet.shapes.addGroup(shapes.items.filter(s =&gt; s.name.startsWith(PREFIX)));</t>
  </si>
  <si>
    <t xml:space="preserve">    group.name = GROUP_NAME;                  // rename in a SEPARATE sync</t>
  </si>
  <si>
    <t xml:space="preserve">    return GROUP_NAME;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</si>
</sst>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rgb="FF0F172A"/>
      <name val="Aptos Narrow"/>
      <family val="2"/>
      <scheme val="minor"/>
    </font>
    <font>
      <i/>
      <sz val="11"/>
      <color rgb="FF64748B"/>
      <name val="Aptos Narrow"/>
      <family val="2"/>
      <scheme val="minor"/>
    </font>
    <font>
      <sz val="10"/>
      <color rgb="FF1E293B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sz val="10"/>
      <color theme="1"/>
      <name val="Consolas"/>
    </font>
    <font>
      <b/>
      <sz val="11"/>
      <color rgb="FFFFFFFF"/>
      <name val="Aptos Narrow"/>
      <family val="2"/>
      <scheme val="minor"/>
    </font>
    <font>
      <b/>
      <sz val="10"/>
      <color rgb="FF1B8129"/>
      <name val="Consolas"/>
    </font>
    <font>
      <b/>
      <sz val="10"/>
      <color rgb="FFD81E3A"/>
      <name val="Consolas"/>
    </font>
    <font>
      <b/>
      <sz val="10"/>
      <color rgb="FF92400E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0284C7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FEF2F2"/>
        <bgColor indexed="64"/>
      </patternFill>
    </fill>
    <fill>
      <patternFill patternType="solid">
        <fgColor rgb="FFFEF3C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7" fillId="0" borderId="0" xfId="0" applyFont="1"/>
    <xf numFmtId="0" fontId="7" fillId="3" borderId="0" xfId="0" applyFont="1" applyFill="1"/>
    <xf numFmtId="0" fontId="8" fillId="4" borderId="0" xfId="0" applyFont="1" applyFill="1"/>
    <xf numFmtId="0" fontId="9" fillId="5" borderId="0" xfId="0" applyFont="1" applyFill="1"/>
    <xf numFmtId="0" fontId="10" fillId="6" borderId="0" xfId="0" applyFont="1" applyFill="1"/>
    <xf numFmtId="0" fontId="11" fillId="7" borderId="0" xfId="0" applyFont="1" applyFill="1"/>
  </cellXfs>
  <cellStyles count="1">
    <cellStyle name="Normal" xfId="0" builtinId="0"/>
  </cellStyles>
  <dxfs count="4"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520700</xdr:colOff>
      <xdr:row>0</xdr:row>
      <xdr:rowOff>0</xdr:rowOff>
    </xdr:from>
    <xdr:to>
      <xdr:col>23</xdr:col>
      <xdr:colOff>292100</xdr:colOff>
      <xdr:row>46</xdr:row>
      <xdr:rowOff>76200</xdr:rowOff>
    </xdr:to>
    <xdr:grpSp>
      <xdr:nvGrpSpPr>
        <xdr:cNvPr id="70" name="POWDER_Decomposition">
          <a:extLst>
            <a:ext uri="{FF2B5EF4-FFF2-40B4-BE49-F238E27FC236}">
              <a16:creationId xmlns:a16="http://schemas.microsoft.com/office/drawing/2014/main" id="{72327B1B-F6C1-10E0-F6EA-2252CD0C4F94}"/>
            </a:ext>
          </a:extLst>
        </xdr:cNvPr>
        <xdr:cNvGrpSpPr/>
      </xdr:nvGrpSpPr>
      <xdr:grpSpPr>
        <a:xfrm>
          <a:off x="6843486" y="0"/>
          <a:ext cx="9495971" cy="8458200"/>
          <a:chOff x="6843486" y="0"/>
          <a:chExt cx="9495971" cy="8458200"/>
        </a:xfrm>
      </xdr:grpSpPr>
      <xdr:sp macro="" textlink="">
        <xdr:nvSpPr>
          <xdr:cNvPr id="7" name="pw_0_0">
            <a:extLst>
              <a:ext uri="{FF2B5EF4-FFF2-40B4-BE49-F238E27FC236}">
                <a16:creationId xmlns:a16="http://schemas.microsoft.com/office/drawing/2014/main" id="{52714428-B2A5-432D-9BFD-B657F6B710A6}"/>
              </a:ext>
            </a:extLst>
          </xdr:cNvPr>
          <xdr:cNvSpPr/>
        </xdr:nvSpPr>
        <xdr:spPr>
          <a:xfrm>
            <a:off x="6843486" y="250371"/>
            <a:ext cx="1899557" cy="7758792"/>
          </a:xfrm>
          <a:prstGeom prst="rect">
            <a:avLst/>
          </a:prstGeom>
          <a:solidFill>
            <a:srgbClr val="D81E3A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4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51.8%
POWDER</a:t>
            </a:r>
          </a:p>
        </xdr:txBody>
      </xdr:sp>
      <xdr:sp macro="" textlink="">
        <xdr:nvSpPr>
          <xdr:cNvPr id="8" name="pw_1_0">
            <a:extLst>
              <a:ext uri="{FF2B5EF4-FFF2-40B4-BE49-F238E27FC236}">
                <a16:creationId xmlns:a16="http://schemas.microsoft.com/office/drawing/2014/main" id="{4533C3EF-4F1D-4E71-8AB6-AA3716737B1D}"/>
              </a:ext>
            </a:extLst>
          </xdr:cNvPr>
          <xdr:cNvSpPr/>
        </xdr:nvSpPr>
        <xdr:spPr>
          <a:xfrm>
            <a:off x="8743043" y="250371"/>
            <a:ext cx="1897743" cy="1727059"/>
          </a:xfrm>
          <a:prstGeom prst="rect">
            <a:avLst/>
          </a:prstGeom>
          <a:solidFill>
            <a:srgbClr val="D81E3A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4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11.5%
SH CHAIN</a:t>
            </a:r>
          </a:p>
        </xdr:txBody>
      </xdr:sp>
      <xdr:sp macro="" textlink="">
        <xdr:nvSpPr>
          <xdr:cNvPr id="9" name="pw_1_1">
            <a:extLst>
              <a:ext uri="{FF2B5EF4-FFF2-40B4-BE49-F238E27FC236}">
                <a16:creationId xmlns:a16="http://schemas.microsoft.com/office/drawing/2014/main" id="{F333EAC3-6576-4BBE-8D49-9B228953AC23}"/>
              </a:ext>
            </a:extLst>
          </xdr:cNvPr>
          <xdr:cNvSpPr/>
        </xdr:nvSpPr>
        <xdr:spPr>
          <a:xfrm>
            <a:off x="8743043" y="1977430"/>
            <a:ext cx="1897743" cy="94129"/>
          </a:xfrm>
          <a:prstGeom prst="rect">
            <a:avLst/>
          </a:prstGeom>
          <a:solidFill>
            <a:srgbClr val="1B8129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/>
          </a:p>
        </xdr:txBody>
      </xdr:sp>
      <xdr:sp macro="" textlink="">
        <xdr:nvSpPr>
          <xdr:cNvPr id="10" name="pw_1_2">
            <a:extLst>
              <a:ext uri="{FF2B5EF4-FFF2-40B4-BE49-F238E27FC236}">
                <a16:creationId xmlns:a16="http://schemas.microsoft.com/office/drawing/2014/main" id="{E19DB7AD-C166-4393-9671-48FAFFF82551}"/>
              </a:ext>
            </a:extLst>
          </xdr:cNvPr>
          <xdr:cNvSpPr/>
        </xdr:nvSpPr>
        <xdr:spPr>
          <a:xfrm>
            <a:off x="8743043" y="2071559"/>
            <a:ext cx="1897743" cy="3129289"/>
          </a:xfrm>
          <a:prstGeom prst="rect">
            <a:avLst/>
          </a:prstGeom>
          <a:solidFill>
            <a:srgbClr val="1B8129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4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20.9%
OT</a:t>
            </a:r>
          </a:p>
        </xdr:txBody>
      </xdr:sp>
      <xdr:sp macro="" textlink="">
        <xdr:nvSpPr>
          <xdr:cNvPr id="11" name="pw_1_3">
            <a:extLst>
              <a:ext uri="{FF2B5EF4-FFF2-40B4-BE49-F238E27FC236}">
                <a16:creationId xmlns:a16="http://schemas.microsoft.com/office/drawing/2014/main" id="{D745E6EE-13A5-4B52-B98F-76C4BC69AD81}"/>
              </a:ext>
            </a:extLst>
          </xdr:cNvPr>
          <xdr:cNvSpPr/>
        </xdr:nvSpPr>
        <xdr:spPr>
          <a:xfrm>
            <a:off x="8743043" y="5200849"/>
            <a:ext cx="1897743" cy="1717138"/>
          </a:xfrm>
          <a:prstGeom prst="rect">
            <a:avLst/>
          </a:prstGeom>
          <a:solidFill>
            <a:srgbClr val="1B8129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4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11.5%
LMT</a:t>
            </a:r>
          </a:p>
        </xdr:txBody>
      </xdr:sp>
      <xdr:sp macro="" textlink="">
        <xdr:nvSpPr>
          <xdr:cNvPr id="12" name="pw_1_4">
            <a:extLst>
              <a:ext uri="{FF2B5EF4-FFF2-40B4-BE49-F238E27FC236}">
                <a16:creationId xmlns:a16="http://schemas.microsoft.com/office/drawing/2014/main" id="{D3C8D720-0030-4A17-ABEA-013E9AFEB0FC}"/>
              </a:ext>
            </a:extLst>
          </xdr:cNvPr>
          <xdr:cNvSpPr/>
        </xdr:nvSpPr>
        <xdr:spPr>
          <a:xfrm>
            <a:off x="8743043" y="6917987"/>
            <a:ext cx="1897743" cy="1091176"/>
          </a:xfrm>
          <a:prstGeom prst="rect">
            <a:avLst/>
          </a:prstGeom>
          <a:solidFill>
            <a:srgbClr val="D81E3A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4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7.3%
CVS</a:t>
            </a:r>
          </a:p>
        </xdr:txBody>
      </xdr:sp>
      <xdr:sp macro="" textlink="">
        <xdr:nvSpPr>
          <xdr:cNvPr id="13" name="pw_2_0">
            <a:extLst>
              <a:ext uri="{FF2B5EF4-FFF2-40B4-BE49-F238E27FC236}">
                <a16:creationId xmlns:a16="http://schemas.microsoft.com/office/drawing/2014/main" id="{B7536BF2-78FE-4F92-BAA4-2DC3A32B7CFA}"/>
              </a:ext>
            </a:extLst>
          </xdr:cNvPr>
          <xdr:cNvSpPr/>
        </xdr:nvSpPr>
        <xdr:spPr>
          <a:xfrm>
            <a:off x="10640786" y="250371"/>
            <a:ext cx="1899557" cy="3335180"/>
          </a:xfrm>
          <a:prstGeom prst="rect">
            <a:avLst/>
          </a:prstGeom>
          <a:solidFill>
            <a:srgbClr val="D81E3A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4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22.3%
TIER1</a:t>
            </a:r>
          </a:p>
        </xdr:txBody>
      </xdr:sp>
      <xdr:sp macro="" textlink="">
        <xdr:nvSpPr>
          <xdr:cNvPr id="14" name="pw_2_1">
            <a:extLst>
              <a:ext uri="{FF2B5EF4-FFF2-40B4-BE49-F238E27FC236}">
                <a16:creationId xmlns:a16="http://schemas.microsoft.com/office/drawing/2014/main" id="{D89921FB-A7A3-4E5D-8CF2-200322B558EA}"/>
              </a:ext>
            </a:extLst>
          </xdr:cNvPr>
          <xdr:cNvSpPr/>
        </xdr:nvSpPr>
        <xdr:spPr>
          <a:xfrm>
            <a:off x="10640786" y="3585551"/>
            <a:ext cx="1899557" cy="666320"/>
          </a:xfrm>
          <a:prstGeom prst="rect">
            <a:avLst/>
          </a:prstGeom>
          <a:solidFill>
            <a:srgbClr val="D81E3A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0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4.5%
TIER2</a:t>
            </a:r>
          </a:p>
        </xdr:txBody>
      </xdr:sp>
      <xdr:sp macro="" textlink="">
        <xdr:nvSpPr>
          <xdr:cNvPr id="15" name="pw_2_2">
            <a:extLst>
              <a:ext uri="{FF2B5EF4-FFF2-40B4-BE49-F238E27FC236}">
                <a16:creationId xmlns:a16="http://schemas.microsoft.com/office/drawing/2014/main" id="{2F58AE4E-110A-4B55-8BA9-B6A58773D1C9}"/>
              </a:ext>
            </a:extLst>
          </xdr:cNvPr>
          <xdr:cNvSpPr/>
        </xdr:nvSpPr>
        <xdr:spPr>
          <a:xfrm>
            <a:off x="10640786" y="4251872"/>
            <a:ext cx="1899557" cy="3630970"/>
          </a:xfrm>
          <a:prstGeom prst="rect">
            <a:avLst/>
          </a:prstGeom>
          <a:solidFill>
            <a:srgbClr val="1B8129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4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24.2%
TIER3</a:t>
            </a:r>
          </a:p>
        </xdr:txBody>
      </xdr:sp>
      <xdr:sp macro="" textlink="">
        <xdr:nvSpPr>
          <xdr:cNvPr id="16" name="pw_2_3">
            <a:extLst>
              <a:ext uri="{FF2B5EF4-FFF2-40B4-BE49-F238E27FC236}">
                <a16:creationId xmlns:a16="http://schemas.microsoft.com/office/drawing/2014/main" id="{33162194-512A-4CD9-9653-6A4FB49CD820}"/>
              </a:ext>
            </a:extLst>
          </xdr:cNvPr>
          <xdr:cNvSpPr/>
        </xdr:nvSpPr>
        <xdr:spPr>
          <a:xfrm>
            <a:off x="10640786" y="7882842"/>
            <a:ext cx="1899557" cy="126321"/>
          </a:xfrm>
          <a:prstGeom prst="rect">
            <a:avLst/>
          </a:prstGeom>
          <a:solidFill>
            <a:srgbClr val="1B8129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/>
          </a:p>
        </xdr:txBody>
      </xdr:sp>
      <xdr:sp macro="" textlink="">
        <xdr:nvSpPr>
          <xdr:cNvPr id="17" name="pw_3_0">
            <a:extLst>
              <a:ext uri="{FF2B5EF4-FFF2-40B4-BE49-F238E27FC236}">
                <a16:creationId xmlns:a16="http://schemas.microsoft.com/office/drawing/2014/main" id="{155AB49C-F4D3-4EE9-950B-183ECC822E37}"/>
              </a:ext>
            </a:extLst>
          </xdr:cNvPr>
          <xdr:cNvSpPr/>
        </xdr:nvSpPr>
        <xdr:spPr>
          <a:xfrm>
            <a:off x="12540343" y="250371"/>
            <a:ext cx="1899557" cy="1611035"/>
          </a:xfrm>
          <a:prstGeom prst="rect">
            <a:avLst/>
          </a:prstGeom>
          <a:solidFill>
            <a:srgbClr val="D81E3A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4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10.8%
GBKK</a:t>
            </a:r>
          </a:p>
        </xdr:txBody>
      </xdr:sp>
      <xdr:sp macro="" textlink="">
        <xdr:nvSpPr>
          <xdr:cNvPr id="18" name="pw_3_1">
            <a:extLst>
              <a:ext uri="{FF2B5EF4-FFF2-40B4-BE49-F238E27FC236}">
                <a16:creationId xmlns:a16="http://schemas.microsoft.com/office/drawing/2014/main" id="{F10B82FE-96F9-45CF-9D4A-A89F8C115B3F}"/>
              </a:ext>
            </a:extLst>
          </xdr:cNvPr>
          <xdr:cNvSpPr/>
        </xdr:nvSpPr>
        <xdr:spPr>
          <a:xfrm>
            <a:off x="12540343" y="1861406"/>
            <a:ext cx="1899557" cy="1999324"/>
          </a:xfrm>
          <a:prstGeom prst="rect">
            <a:avLst/>
          </a:prstGeom>
          <a:solidFill>
            <a:srgbClr val="1B8129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4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13.3%
CENTRAL</a:t>
            </a:r>
          </a:p>
        </xdr:txBody>
      </xdr:sp>
      <xdr:sp macro="" textlink="">
        <xdr:nvSpPr>
          <xdr:cNvPr id="19" name="pw_3_2">
            <a:extLst>
              <a:ext uri="{FF2B5EF4-FFF2-40B4-BE49-F238E27FC236}">
                <a16:creationId xmlns:a16="http://schemas.microsoft.com/office/drawing/2014/main" id="{485AD433-2CEF-482F-BE23-FAA10F8DBB78}"/>
              </a:ext>
            </a:extLst>
          </xdr:cNvPr>
          <xdr:cNvSpPr/>
        </xdr:nvSpPr>
        <xdr:spPr>
          <a:xfrm>
            <a:off x="12540343" y="3860730"/>
            <a:ext cx="1899557" cy="1201950"/>
          </a:xfrm>
          <a:prstGeom prst="rect">
            <a:avLst/>
          </a:prstGeom>
          <a:solidFill>
            <a:srgbClr val="1B8129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4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8.0%
NORTH</a:t>
            </a:r>
          </a:p>
        </xdr:txBody>
      </xdr:sp>
      <xdr:sp macro="" textlink="">
        <xdr:nvSpPr>
          <xdr:cNvPr id="20" name="pw_3_3">
            <a:extLst>
              <a:ext uri="{FF2B5EF4-FFF2-40B4-BE49-F238E27FC236}">
                <a16:creationId xmlns:a16="http://schemas.microsoft.com/office/drawing/2014/main" id="{66CA73D3-1FF0-4B9C-A1FF-E4248E882A39}"/>
              </a:ext>
            </a:extLst>
          </xdr:cNvPr>
          <xdr:cNvSpPr/>
        </xdr:nvSpPr>
        <xdr:spPr>
          <a:xfrm>
            <a:off x="12540343" y="5062681"/>
            <a:ext cx="1899557" cy="2184807"/>
          </a:xfrm>
          <a:prstGeom prst="rect">
            <a:avLst/>
          </a:prstGeom>
          <a:solidFill>
            <a:srgbClr val="D81E3A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4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14.6%
NORTHEAST</a:t>
            </a:r>
          </a:p>
        </xdr:txBody>
      </xdr:sp>
      <xdr:sp macro="" textlink="">
        <xdr:nvSpPr>
          <xdr:cNvPr id="21" name="pw_3_4">
            <a:extLst>
              <a:ext uri="{FF2B5EF4-FFF2-40B4-BE49-F238E27FC236}">
                <a16:creationId xmlns:a16="http://schemas.microsoft.com/office/drawing/2014/main" id="{9D86021E-9936-40FC-B0AE-DAD8B85497D5}"/>
              </a:ext>
            </a:extLst>
          </xdr:cNvPr>
          <xdr:cNvSpPr/>
        </xdr:nvSpPr>
        <xdr:spPr>
          <a:xfrm>
            <a:off x="12540343" y="7247488"/>
            <a:ext cx="1899557" cy="761675"/>
          </a:xfrm>
          <a:prstGeom prst="rect">
            <a:avLst/>
          </a:prstGeom>
          <a:solidFill>
            <a:srgbClr val="D81E3A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4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5.1%
SOUTH</a:t>
            </a:r>
          </a:p>
        </xdr:txBody>
      </xdr:sp>
      <xdr:sp macro="" textlink="">
        <xdr:nvSpPr>
          <xdr:cNvPr id="22" name="pw_4_0">
            <a:extLst>
              <a:ext uri="{FF2B5EF4-FFF2-40B4-BE49-F238E27FC236}">
                <a16:creationId xmlns:a16="http://schemas.microsoft.com/office/drawing/2014/main" id="{76701B6F-0911-4DD9-A12B-B0DB8FC9A752}"/>
              </a:ext>
            </a:extLst>
          </xdr:cNvPr>
          <xdr:cNvSpPr/>
        </xdr:nvSpPr>
        <xdr:spPr>
          <a:xfrm>
            <a:off x="14439900" y="250371"/>
            <a:ext cx="1899557" cy="641061"/>
          </a:xfrm>
          <a:prstGeom prst="rect">
            <a:avLst/>
          </a:prstGeom>
          <a:solidFill>
            <a:srgbClr val="D81E3A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0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4.3%
S</a:t>
            </a:r>
          </a:p>
        </xdr:txBody>
      </xdr:sp>
      <xdr:sp macro="" textlink="">
        <xdr:nvSpPr>
          <xdr:cNvPr id="23" name="pw_4_1">
            <a:extLst>
              <a:ext uri="{FF2B5EF4-FFF2-40B4-BE49-F238E27FC236}">
                <a16:creationId xmlns:a16="http://schemas.microsoft.com/office/drawing/2014/main" id="{79ECA7D0-626F-4DB5-A67B-F4D4B5199A1F}"/>
              </a:ext>
            </a:extLst>
          </xdr:cNvPr>
          <xdr:cNvSpPr/>
        </xdr:nvSpPr>
        <xdr:spPr>
          <a:xfrm>
            <a:off x="14439900" y="891432"/>
            <a:ext cx="1899557" cy="1298057"/>
          </a:xfrm>
          <a:prstGeom prst="rect">
            <a:avLst/>
          </a:prstGeom>
          <a:solidFill>
            <a:srgbClr val="D81E3A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4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8.7%
M</a:t>
            </a:r>
          </a:p>
        </xdr:txBody>
      </xdr:sp>
      <xdr:sp macro="" textlink="">
        <xdr:nvSpPr>
          <xdr:cNvPr id="24" name="pw_4_2">
            <a:extLst>
              <a:ext uri="{FF2B5EF4-FFF2-40B4-BE49-F238E27FC236}">
                <a16:creationId xmlns:a16="http://schemas.microsoft.com/office/drawing/2014/main" id="{93C7A97F-F56C-4E94-93E7-21C4044BF8BE}"/>
              </a:ext>
            </a:extLst>
          </xdr:cNvPr>
          <xdr:cNvSpPr/>
        </xdr:nvSpPr>
        <xdr:spPr>
          <a:xfrm>
            <a:off x="14439900" y="2189489"/>
            <a:ext cx="1899557" cy="2222998"/>
          </a:xfrm>
          <a:prstGeom prst="rect">
            <a:avLst/>
          </a:prstGeom>
          <a:solidFill>
            <a:srgbClr val="1B8129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4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14.9%
L</a:t>
            </a:r>
          </a:p>
        </xdr:txBody>
      </xdr:sp>
      <xdr:sp macro="" textlink="">
        <xdr:nvSpPr>
          <xdr:cNvPr id="25" name="pw_4_3">
            <a:extLst>
              <a:ext uri="{FF2B5EF4-FFF2-40B4-BE49-F238E27FC236}">
                <a16:creationId xmlns:a16="http://schemas.microsoft.com/office/drawing/2014/main" id="{AAED6EFE-8A14-4C1A-BCA9-BC6540E43D19}"/>
              </a:ext>
            </a:extLst>
          </xdr:cNvPr>
          <xdr:cNvSpPr/>
        </xdr:nvSpPr>
        <xdr:spPr>
          <a:xfrm>
            <a:off x="14439900" y="4412488"/>
            <a:ext cx="1899557" cy="2976508"/>
          </a:xfrm>
          <a:prstGeom prst="rect">
            <a:avLst/>
          </a:prstGeom>
          <a:solidFill>
            <a:srgbClr val="1B8129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4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19.9%
XL</a:t>
            </a:r>
          </a:p>
        </xdr:txBody>
      </xdr:sp>
      <xdr:sp macro="" textlink="">
        <xdr:nvSpPr>
          <xdr:cNvPr id="26" name="pw_4_4">
            <a:extLst>
              <a:ext uri="{FF2B5EF4-FFF2-40B4-BE49-F238E27FC236}">
                <a16:creationId xmlns:a16="http://schemas.microsoft.com/office/drawing/2014/main" id="{92C74605-FD2C-4B92-8ED3-C30B4B365119}"/>
              </a:ext>
            </a:extLst>
          </xdr:cNvPr>
          <xdr:cNvSpPr/>
        </xdr:nvSpPr>
        <xdr:spPr>
          <a:xfrm>
            <a:off x="14439900" y="7388996"/>
            <a:ext cx="1899557" cy="620167"/>
          </a:xfrm>
          <a:prstGeom prst="rect">
            <a:avLst/>
          </a:prstGeom>
          <a:solidFill>
            <a:srgbClr val="D81E3A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0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4.1%
XXL</a:t>
            </a:r>
          </a:p>
        </xdr:txBody>
      </xdr:sp>
      <xdr:sp macro="" textlink="">
        <xdr:nvSpPr>
          <xdr:cNvPr id="27" name="pwg_0_0">
            <a:extLst>
              <a:ext uri="{FF2B5EF4-FFF2-40B4-BE49-F238E27FC236}">
                <a16:creationId xmlns:a16="http://schemas.microsoft.com/office/drawing/2014/main" id="{BB36D1A4-F3D6-4B33-BC7F-FECD2DAC393B}"/>
              </a:ext>
            </a:extLst>
          </xdr:cNvPr>
          <xdr:cNvSpPr txBox="1"/>
        </xdr:nvSpPr>
        <xdr:spPr>
          <a:xfrm>
            <a:off x="6881586" y="288471"/>
            <a:ext cx="656771" cy="187779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-3.4%</a:t>
            </a:r>
          </a:p>
        </xdr:txBody>
      </xdr:sp>
      <xdr:sp macro="" textlink="">
        <xdr:nvSpPr>
          <xdr:cNvPr id="28" name="pwb_0_0">
            <a:extLst>
              <a:ext uri="{FF2B5EF4-FFF2-40B4-BE49-F238E27FC236}">
                <a16:creationId xmlns:a16="http://schemas.microsoft.com/office/drawing/2014/main" id="{FBD03F9A-DBFE-66A2-C368-77892C4CB228}"/>
              </a:ext>
            </a:extLst>
          </xdr:cNvPr>
          <xdr:cNvSpPr txBox="1"/>
        </xdr:nvSpPr>
        <xdr:spPr>
          <a:xfrm>
            <a:off x="8008257" y="288471"/>
            <a:ext cx="696686" cy="187779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-44 bps</a:t>
            </a:r>
          </a:p>
        </xdr:txBody>
      </xdr:sp>
      <xdr:sp macro="" textlink="">
        <xdr:nvSpPr>
          <xdr:cNvPr id="29" name="pwh_0">
            <a:extLst>
              <a:ext uri="{FF2B5EF4-FFF2-40B4-BE49-F238E27FC236}">
                <a16:creationId xmlns:a16="http://schemas.microsoft.com/office/drawing/2014/main" id="{A09E6862-35CA-92B5-E2AA-A7465BFCE9F2}"/>
              </a:ext>
            </a:extLst>
          </xdr:cNvPr>
          <xdr:cNvSpPr txBox="1"/>
        </xdr:nvSpPr>
        <xdr:spPr>
          <a:xfrm>
            <a:off x="6843486" y="8133443"/>
            <a:ext cx="1899557" cy="324757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t">
            <a:spAutoFit/>
          </a:bodyPr>
          <a:lstStyle/>
          <a:p>
            <a:pPr algn="ctr"/>
            <a:r>
              <a:rPr kumimoji="0" lang="en-US" sz="1500" b="1" i="0" u="none" strike="noStrike" kern="0" cap="none" spc="0" normalizeH="0" baseline="0" noProof="0">
                <a:ln>
                  <a:noFill/>
                </a:ln>
                <a:solidFill>
                  <a:srgbClr val="0284C7"/>
                </a:solidFill>
                <a:effectLst/>
                <a:uLnTx/>
                <a:uFillTx/>
                <a:latin typeface="Aptos Narrow" panose="02110004020202020204"/>
              </a:rPr>
              <a:t>Total TH</a:t>
            </a:r>
          </a:p>
        </xdr:txBody>
      </xdr:sp>
      <xdr:sp macro="" textlink="">
        <xdr:nvSpPr>
          <xdr:cNvPr id="30" name="pwg_1_0">
            <a:extLst>
              <a:ext uri="{FF2B5EF4-FFF2-40B4-BE49-F238E27FC236}">
                <a16:creationId xmlns:a16="http://schemas.microsoft.com/office/drawing/2014/main" id="{4346A268-1F46-55A9-807E-E1BF9AD998AA}"/>
              </a:ext>
            </a:extLst>
          </xdr:cNvPr>
          <xdr:cNvSpPr txBox="1"/>
        </xdr:nvSpPr>
        <xdr:spPr>
          <a:xfrm>
            <a:off x="8779329" y="288471"/>
            <a:ext cx="658585" cy="187779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-14.7%</a:t>
            </a:r>
          </a:p>
        </xdr:txBody>
      </xdr:sp>
      <xdr:sp macro="" textlink="">
        <xdr:nvSpPr>
          <xdr:cNvPr id="31" name="pwb_1_0">
            <a:extLst>
              <a:ext uri="{FF2B5EF4-FFF2-40B4-BE49-F238E27FC236}">
                <a16:creationId xmlns:a16="http://schemas.microsoft.com/office/drawing/2014/main" id="{7EDD431A-0F94-0BD0-4300-9FA55C7F677F}"/>
              </a:ext>
            </a:extLst>
          </xdr:cNvPr>
          <xdr:cNvSpPr txBox="1"/>
        </xdr:nvSpPr>
        <xdr:spPr>
          <a:xfrm>
            <a:off x="9907814" y="288471"/>
            <a:ext cx="694872" cy="187779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-164 bps</a:t>
            </a:r>
          </a:p>
        </xdr:txBody>
      </xdr:sp>
      <xdr:sp macro="" textlink="">
        <xdr:nvSpPr>
          <xdr:cNvPr id="32" name="pwg_1_2">
            <a:extLst>
              <a:ext uri="{FF2B5EF4-FFF2-40B4-BE49-F238E27FC236}">
                <a16:creationId xmlns:a16="http://schemas.microsoft.com/office/drawing/2014/main" id="{4454DEE7-32EF-DD60-4BA3-7A590B5C3413}"/>
              </a:ext>
            </a:extLst>
          </xdr:cNvPr>
          <xdr:cNvSpPr txBox="1"/>
        </xdr:nvSpPr>
        <xdr:spPr>
          <a:xfrm>
            <a:off x="8779329" y="2109659"/>
            <a:ext cx="658585" cy="187779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+2.9%</a:t>
            </a:r>
          </a:p>
        </xdr:txBody>
      </xdr:sp>
      <xdr:sp macro="" textlink="">
        <xdr:nvSpPr>
          <xdr:cNvPr id="33" name="pwb_1_2">
            <a:extLst>
              <a:ext uri="{FF2B5EF4-FFF2-40B4-BE49-F238E27FC236}">
                <a16:creationId xmlns:a16="http://schemas.microsoft.com/office/drawing/2014/main" id="{5A5F8716-5C4F-2A3D-D27C-E8295C16A761}"/>
              </a:ext>
            </a:extLst>
          </xdr:cNvPr>
          <xdr:cNvSpPr txBox="1"/>
        </xdr:nvSpPr>
        <xdr:spPr>
          <a:xfrm>
            <a:off x="9907814" y="2109659"/>
            <a:ext cx="694872" cy="187779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111 bps</a:t>
            </a:r>
          </a:p>
        </xdr:txBody>
      </xdr:sp>
      <xdr:sp macro="" textlink="">
        <xdr:nvSpPr>
          <xdr:cNvPr id="34" name="pwg_1_3">
            <a:extLst>
              <a:ext uri="{FF2B5EF4-FFF2-40B4-BE49-F238E27FC236}">
                <a16:creationId xmlns:a16="http://schemas.microsoft.com/office/drawing/2014/main" id="{3262BCD6-6B7A-9CAC-1C49-CD921C8B7990}"/>
              </a:ext>
            </a:extLst>
          </xdr:cNvPr>
          <xdr:cNvSpPr txBox="1"/>
        </xdr:nvSpPr>
        <xdr:spPr>
          <a:xfrm>
            <a:off x="8779329" y="5238949"/>
            <a:ext cx="658585" cy="187778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+14.7%</a:t>
            </a:r>
          </a:p>
        </xdr:txBody>
      </xdr:sp>
      <xdr:sp macro="" textlink="">
        <xdr:nvSpPr>
          <xdr:cNvPr id="35" name="pwb_1_3">
            <a:extLst>
              <a:ext uri="{FF2B5EF4-FFF2-40B4-BE49-F238E27FC236}">
                <a16:creationId xmlns:a16="http://schemas.microsoft.com/office/drawing/2014/main" id="{9736D1E8-04BE-8F96-55F3-DE137BEF5C5C}"/>
              </a:ext>
            </a:extLst>
          </xdr:cNvPr>
          <xdr:cNvSpPr txBox="1"/>
        </xdr:nvSpPr>
        <xdr:spPr>
          <a:xfrm>
            <a:off x="9907814" y="5238949"/>
            <a:ext cx="694872" cy="187778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172 bps</a:t>
            </a:r>
          </a:p>
        </xdr:txBody>
      </xdr:sp>
      <xdr:sp macro="" textlink="">
        <xdr:nvSpPr>
          <xdr:cNvPr id="36" name="pwg_1_4">
            <a:extLst>
              <a:ext uri="{FF2B5EF4-FFF2-40B4-BE49-F238E27FC236}">
                <a16:creationId xmlns:a16="http://schemas.microsoft.com/office/drawing/2014/main" id="{FD33006B-5BD8-E7EB-BBF7-45F9795406D9}"/>
              </a:ext>
            </a:extLst>
          </xdr:cNvPr>
          <xdr:cNvSpPr txBox="1"/>
        </xdr:nvSpPr>
        <xdr:spPr>
          <a:xfrm>
            <a:off x="8779329" y="6953365"/>
            <a:ext cx="658585" cy="187779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-21.6%</a:t>
            </a:r>
          </a:p>
        </xdr:txBody>
      </xdr:sp>
      <xdr:sp macro="" textlink="">
        <xdr:nvSpPr>
          <xdr:cNvPr id="37" name="pwb_1_4">
            <a:extLst>
              <a:ext uri="{FF2B5EF4-FFF2-40B4-BE49-F238E27FC236}">
                <a16:creationId xmlns:a16="http://schemas.microsoft.com/office/drawing/2014/main" id="{055A6E1F-586D-9AD8-FEA6-DECA579A09BE}"/>
              </a:ext>
            </a:extLst>
          </xdr:cNvPr>
          <xdr:cNvSpPr txBox="1"/>
        </xdr:nvSpPr>
        <xdr:spPr>
          <a:xfrm>
            <a:off x="9907814" y="6953365"/>
            <a:ext cx="694872" cy="187779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-177 bps</a:t>
            </a:r>
          </a:p>
        </xdr:txBody>
      </xdr:sp>
      <xdr:sp macro="" textlink="">
        <xdr:nvSpPr>
          <xdr:cNvPr id="38" name="pwh_1">
            <a:extLst>
              <a:ext uri="{FF2B5EF4-FFF2-40B4-BE49-F238E27FC236}">
                <a16:creationId xmlns:a16="http://schemas.microsoft.com/office/drawing/2014/main" id="{40C325F9-EDB2-123F-C22C-B42B64A661E9}"/>
              </a:ext>
            </a:extLst>
          </xdr:cNvPr>
          <xdr:cNvSpPr txBox="1"/>
        </xdr:nvSpPr>
        <xdr:spPr>
          <a:xfrm>
            <a:off x="8743043" y="8133443"/>
            <a:ext cx="1897743" cy="324757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t">
            <a:spAutoFit/>
          </a:bodyPr>
          <a:lstStyle/>
          <a:p>
            <a:pPr algn="ctr"/>
            <a:r>
              <a:rPr kumimoji="0" lang="en-US" sz="1500" b="1" i="0" u="none" strike="noStrike" kern="0" cap="none" spc="0" normalizeH="0" baseline="0" noProof="0">
                <a:ln>
                  <a:noFill/>
                </a:ln>
                <a:solidFill>
                  <a:srgbClr val="0284C7"/>
                </a:solidFill>
                <a:effectLst/>
                <a:uLnTx/>
                <a:uFillTx/>
                <a:latin typeface="Aptos Narrow" panose="02110004020202020204"/>
              </a:rPr>
              <a:t>Channel</a:t>
            </a:r>
          </a:p>
        </xdr:txBody>
      </xdr:sp>
      <xdr:sp macro="" textlink="">
        <xdr:nvSpPr>
          <xdr:cNvPr id="39" name="pwg_2_0">
            <a:extLst>
              <a:ext uri="{FF2B5EF4-FFF2-40B4-BE49-F238E27FC236}">
                <a16:creationId xmlns:a16="http://schemas.microsoft.com/office/drawing/2014/main" id="{70AC86C3-67AF-7ABC-05FE-018B61D059C0}"/>
              </a:ext>
            </a:extLst>
          </xdr:cNvPr>
          <xdr:cNvSpPr txBox="1"/>
        </xdr:nvSpPr>
        <xdr:spPr>
          <a:xfrm>
            <a:off x="10678886" y="288471"/>
            <a:ext cx="658585" cy="187779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-7.6%</a:t>
            </a:r>
          </a:p>
        </xdr:txBody>
      </xdr:sp>
      <xdr:sp macro="" textlink="">
        <xdr:nvSpPr>
          <xdr:cNvPr id="40" name="pwb_2_0">
            <a:extLst>
              <a:ext uri="{FF2B5EF4-FFF2-40B4-BE49-F238E27FC236}">
                <a16:creationId xmlns:a16="http://schemas.microsoft.com/office/drawing/2014/main" id="{DB12E240-9717-A95D-4A2D-4E1C1AFC0E45}"/>
              </a:ext>
            </a:extLst>
          </xdr:cNvPr>
          <xdr:cNvSpPr txBox="1"/>
        </xdr:nvSpPr>
        <xdr:spPr>
          <a:xfrm>
            <a:off x="11805557" y="288471"/>
            <a:ext cx="696686" cy="187779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-121 bps</a:t>
            </a:r>
          </a:p>
        </xdr:txBody>
      </xdr:sp>
      <xdr:sp macro="" textlink="">
        <xdr:nvSpPr>
          <xdr:cNvPr id="41" name="pwg_2_1">
            <a:extLst>
              <a:ext uri="{FF2B5EF4-FFF2-40B4-BE49-F238E27FC236}">
                <a16:creationId xmlns:a16="http://schemas.microsoft.com/office/drawing/2014/main" id="{6CB2F39C-4C9B-76E7-DD30-91C7D9E23CEF}"/>
              </a:ext>
            </a:extLst>
          </xdr:cNvPr>
          <xdr:cNvSpPr txBox="1"/>
        </xdr:nvSpPr>
        <xdr:spPr>
          <a:xfrm>
            <a:off x="10678886" y="3623651"/>
            <a:ext cx="658585" cy="187778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-15.5%</a:t>
            </a:r>
          </a:p>
        </xdr:txBody>
      </xdr:sp>
      <xdr:sp macro="" textlink="">
        <xdr:nvSpPr>
          <xdr:cNvPr id="42" name="pwb_2_1">
            <a:extLst>
              <a:ext uri="{FF2B5EF4-FFF2-40B4-BE49-F238E27FC236}">
                <a16:creationId xmlns:a16="http://schemas.microsoft.com/office/drawing/2014/main" id="{9F242B30-C01C-4A56-9E62-4EA8CA5F46A3}"/>
              </a:ext>
            </a:extLst>
          </xdr:cNvPr>
          <xdr:cNvSpPr txBox="1"/>
        </xdr:nvSpPr>
        <xdr:spPr>
          <a:xfrm>
            <a:off x="11805557" y="3623651"/>
            <a:ext cx="696686" cy="187778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-68 bps</a:t>
            </a:r>
          </a:p>
        </xdr:txBody>
      </xdr:sp>
      <xdr:sp macro="" textlink="">
        <xdr:nvSpPr>
          <xdr:cNvPr id="43" name="pwg_2_2">
            <a:extLst>
              <a:ext uri="{FF2B5EF4-FFF2-40B4-BE49-F238E27FC236}">
                <a16:creationId xmlns:a16="http://schemas.microsoft.com/office/drawing/2014/main" id="{D80CCD18-64C2-C7A8-56F1-5E4691CCC3CD}"/>
              </a:ext>
            </a:extLst>
          </xdr:cNvPr>
          <xdr:cNvSpPr txBox="1"/>
        </xdr:nvSpPr>
        <xdr:spPr>
          <a:xfrm>
            <a:off x="10678886" y="4289972"/>
            <a:ext cx="658585" cy="187779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+1.3%</a:t>
            </a:r>
          </a:p>
        </xdr:txBody>
      </xdr:sp>
      <xdr:sp macro="" textlink="">
        <xdr:nvSpPr>
          <xdr:cNvPr id="44" name="pwb_2_2">
            <a:extLst>
              <a:ext uri="{FF2B5EF4-FFF2-40B4-BE49-F238E27FC236}">
                <a16:creationId xmlns:a16="http://schemas.microsoft.com/office/drawing/2014/main" id="{894CFE52-C43C-ACB3-0D09-59CB15A4993A}"/>
              </a:ext>
            </a:extLst>
          </xdr:cNvPr>
          <xdr:cNvSpPr txBox="1"/>
        </xdr:nvSpPr>
        <xdr:spPr>
          <a:xfrm>
            <a:off x="11805557" y="4289972"/>
            <a:ext cx="696686" cy="187779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92 bps</a:t>
            </a:r>
          </a:p>
        </xdr:txBody>
      </xdr:sp>
      <xdr:sp macro="" textlink="">
        <xdr:nvSpPr>
          <xdr:cNvPr id="45" name="pwh_2">
            <a:extLst>
              <a:ext uri="{FF2B5EF4-FFF2-40B4-BE49-F238E27FC236}">
                <a16:creationId xmlns:a16="http://schemas.microsoft.com/office/drawing/2014/main" id="{3DC68799-FB6C-E65C-582B-E81DD878F93F}"/>
              </a:ext>
            </a:extLst>
          </xdr:cNvPr>
          <xdr:cNvSpPr txBox="1"/>
        </xdr:nvSpPr>
        <xdr:spPr>
          <a:xfrm>
            <a:off x="10640786" y="8133443"/>
            <a:ext cx="1899557" cy="324757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t">
            <a:spAutoFit/>
          </a:bodyPr>
          <a:lstStyle/>
          <a:p>
            <a:pPr algn="ctr"/>
            <a:r>
              <a:rPr kumimoji="0" lang="en-US" sz="1500" b="1" i="0" u="none" strike="noStrike" kern="0" cap="none" spc="0" normalizeH="0" baseline="0" noProof="0">
                <a:ln>
                  <a:noFill/>
                </a:ln>
                <a:solidFill>
                  <a:srgbClr val="0284C7"/>
                </a:solidFill>
                <a:effectLst/>
                <a:uLnTx/>
                <a:uFillTx/>
                <a:latin typeface="Aptos Narrow" panose="02110004020202020204"/>
              </a:rPr>
              <a:t>Price</a:t>
            </a:r>
          </a:p>
        </xdr:txBody>
      </xdr:sp>
      <xdr:sp macro="" textlink="">
        <xdr:nvSpPr>
          <xdr:cNvPr id="46" name="pwg_3_0">
            <a:extLst>
              <a:ext uri="{FF2B5EF4-FFF2-40B4-BE49-F238E27FC236}">
                <a16:creationId xmlns:a16="http://schemas.microsoft.com/office/drawing/2014/main" id="{DD4D8C1F-DBBA-CA1F-05D0-3EBEDB168479}"/>
              </a:ext>
            </a:extLst>
          </xdr:cNvPr>
          <xdr:cNvSpPr txBox="1"/>
        </xdr:nvSpPr>
        <xdr:spPr>
          <a:xfrm>
            <a:off x="12578443" y="288471"/>
            <a:ext cx="658586" cy="187779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-6.4%</a:t>
            </a:r>
          </a:p>
        </xdr:txBody>
      </xdr:sp>
      <xdr:sp macro="" textlink="">
        <xdr:nvSpPr>
          <xdr:cNvPr id="47" name="pwb_3_0">
            <a:extLst>
              <a:ext uri="{FF2B5EF4-FFF2-40B4-BE49-F238E27FC236}">
                <a16:creationId xmlns:a16="http://schemas.microsoft.com/office/drawing/2014/main" id="{DF0CA7AE-2ECC-590F-C76E-7579164E4E3E}"/>
              </a:ext>
            </a:extLst>
          </xdr:cNvPr>
          <xdr:cNvSpPr txBox="1"/>
        </xdr:nvSpPr>
        <xdr:spPr>
          <a:xfrm>
            <a:off x="13705114" y="288471"/>
            <a:ext cx="696686" cy="187779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-45 bps</a:t>
            </a:r>
          </a:p>
        </xdr:txBody>
      </xdr:sp>
      <xdr:sp macro="" textlink="">
        <xdr:nvSpPr>
          <xdr:cNvPr id="48" name="pwg_3_1">
            <a:extLst>
              <a:ext uri="{FF2B5EF4-FFF2-40B4-BE49-F238E27FC236}">
                <a16:creationId xmlns:a16="http://schemas.microsoft.com/office/drawing/2014/main" id="{AD757FF5-A034-9AF8-D573-A4E6DEF06C7B}"/>
              </a:ext>
            </a:extLst>
          </xdr:cNvPr>
          <xdr:cNvSpPr txBox="1"/>
        </xdr:nvSpPr>
        <xdr:spPr>
          <a:xfrm>
            <a:off x="12578443" y="1899506"/>
            <a:ext cx="658586" cy="187778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+2.4%</a:t>
            </a:r>
          </a:p>
        </xdr:txBody>
      </xdr:sp>
      <xdr:sp macro="" textlink="">
        <xdr:nvSpPr>
          <xdr:cNvPr id="49" name="pwb_3_1">
            <a:extLst>
              <a:ext uri="{FF2B5EF4-FFF2-40B4-BE49-F238E27FC236}">
                <a16:creationId xmlns:a16="http://schemas.microsoft.com/office/drawing/2014/main" id="{985FE033-D92F-B50E-E57C-3DD5A14BFF1E}"/>
              </a:ext>
            </a:extLst>
          </xdr:cNvPr>
          <xdr:cNvSpPr txBox="1"/>
        </xdr:nvSpPr>
        <xdr:spPr>
          <a:xfrm>
            <a:off x="13705114" y="1899506"/>
            <a:ext cx="696686" cy="187778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64 bps</a:t>
            </a:r>
          </a:p>
        </xdr:txBody>
      </xdr:sp>
      <xdr:sp macro="" textlink="">
        <xdr:nvSpPr>
          <xdr:cNvPr id="50" name="pwg_3_2">
            <a:extLst>
              <a:ext uri="{FF2B5EF4-FFF2-40B4-BE49-F238E27FC236}">
                <a16:creationId xmlns:a16="http://schemas.microsoft.com/office/drawing/2014/main" id="{A1B8E1FA-26E1-31BD-9DEF-B5EC32BB41CB}"/>
              </a:ext>
            </a:extLst>
          </xdr:cNvPr>
          <xdr:cNvSpPr txBox="1"/>
        </xdr:nvSpPr>
        <xdr:spPr>
          <a:xfrm>
            <a:off x="12578443" y="3898830"/>
            <a:ext cx="658586" cy="187778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+2.0%</a:t>
            </a:r>
          </a:p>
        </xdr:txBody>
      </xdr:sp>
      <xdr:sp macro="" textlink="">
        <xdr:nvSpPr>
          <xdr:cNvPr id="51" name="pwb_3_2">
            <a:extLst>
              <a:ext uri="{FF2B5EF4-FFF2-40B4-BE49-F238E27FC236}">
                <a16:creationId xmlns:a16="http://schemas.microsoft.com/office/drawing/2014/main" id="{07A953AC-B9AA-07D7-8328-AD333FD52B9D}"/>
              </a:ext>
            </a:extLst>
          </xdr:cNvPr>
          <xdr:cNvSpPr txBox="1"/>
        </xdr:nvSpPr>
        <xdr:spPr>
          <a:xfrm>
            <a:off x="13705114" y="3898830"/>
            <a:ext cx="696686" cy="187778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35 bps</a:t>
            </a:r>
          </a:p>
        </xdr:txBody>
      </xdr:sp>
      <xdr:sp macro="" textlink="">
        <xdr:nvSpPr>
          <xdr:cNvPr id="52" name="pwg_3_3">
            <a:extLst>
              <a:ext uri="{FF2B5EF4-FFF2-40B4-BE49-F238E27FC236}">
                <a16:creationId xmlns:a16="http://schemas.microsoft.com/office/drawing/2014/main" id="{99A09726-CEDB-7459-5C47-0B9379664666}"/>
              </a:ext>
            </a:extLst>
          </xdr:cNvPr>
          <xdr:cNvSpPr txBox="1"/>
        </xdr:nvSpPr>
        <xdr:spPr>
          <a:xfrm>
            <a:off x="12578443" y="5100781"/>
            <a:ext cx="658586" cy="185057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-6.7%</a:t>
            </a:r>
          </a:p>
        </xdr:txBody>
      </xdr:sp>
      <xdr:sp macro="" textlink="">
        <xdr:nvSpPr>
          <xdr:cNvPr id="53" name="pwb_3_3">
            <a:extLst>
              <a:ext uri="{FF2B5EF4-FFF2-40B4-BE49-F238E27FC236}">
                <a16:creationId xmlns:a16="http://schemas.microsoft.com/office/drawing/2014/main" id="{853659EB-13B8-C473-5376-301013D5F539}"/>
              </a:ext>
            </a:extLst>
          </xdr:cNvPr>
          <xdr:cNvSpPr txBox="1"/>
        </xdr:nvSpPr>
        <xdr:spPr>
          <a:xfrm>
            <a:off x="13705114" y="5100781"/>
            <a:ext cx="696686" cy="185057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-65 bps</a:t>
            </a:r>
          </a:p>
        </xdr:txBody>
      </xdr:sp>
      <xdr:sp macro="" textlink="">
        <xdr:nvSpPr>
          <xdr:cNvPr id="54" name="pwg_3_4">
            <a:extLst>
              <a:ext uri="{FF2B5EF4-FFF2-40B4-BE49-F238E27FC236}">
                <a16:creationId xmlns:a16="http://schemas.microsoft.com/office/drawing/2014/main" id="{0442B991-E996-A9E4-B7FD-2C1ADD4C0AC1}"/>
              </a:ext>
            </a:extLst>
          </xdr:cNvPr>
          <xdr:cNvSpPr txBox="1"/>
        </xdr:nvSpPr>
        <xdr:spPr>
          <a:xfrm>
            <a:off x="12578443" y="7285588"/>
            <a:ext cx="658586" cy="187779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-8.7%</a:t>
            </a:r>
          </a:p>
        </xdr:txBody>
      </xdr:sp>
      <xdr:sp macro="" textlink="">
        <xdr:nvSpPr>
          <xdr:cNvPr id="55" name="pwb_3_4">
            <a:extLst>
              <a:ext uri="{FF2B5EF4-FFF2-40B4-BE49-F238E27FC236}">
                <a16:creationId xmlns:a16="http://schemas.microsoft.com/office/drawing/2014/main" id="{21358D0D-0D71-AFFB-530A-DD0AB773CC56}"/>
              </a:ext>
            </a:extLst>
          </xdr:cNvPr>
          <xdr:cNvSpPr txBox="1"/>
        </xdr:nvSpPr>
        <xdr:spPr>
          <a:xfrm>
            <a:off x="13705114" y="7285588"/>
            <a:ext cx="696686" cy="187779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-34 bps</a:t>
            </a:r>
          </a:p>
        </xdr:txBody>
      </xdr:sp>
      <xdr:sp macro="" textlink="">
        <xdr:nvSpPr>
          <xdr:cNvPr id="56" name="pwh_3">
            <a:extLst>
              <a:ext uri="{FF2B5EF4-FFF2-40B4-BE49-F238E27FC236}">
                <a16:creationId xmlns:a16="http://schemas.microsoft.com/office/drawing/2014/main" id="{48980FE4-1F1F-4DF3-1958-AA2C8F16CAD6}"/>
              </a:ext>
            </a:extLst>
          </xdr:cNvPr>
          <xdr:cNvSpPr txBox="1"/>
        </xdr:nvSpPr>
        <xdr:spPr>
          <a:xfrm>
            <a:off x="12540343" y="8133443"/>
            <a:ext cx="1899557" cy="324757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t">
            <a:spAutoFit/>
          </a:bodyPr>
          <a:lstStyle/>
          <a:p>
            <a:pPr algn="ctr"/>
            <a:r>
              <a:rPr kumimoji="0" lang="en-US" sz="1500" b="1" i="0" u="none" strike="noStrike" kern="0" cap="none" spc="0" normalizeH="0" baseline="0" noProof="0">
                <a:ln>
                  <a:noFill/>
                </a:ln>
                <a:solidFill>
                  <a:srgbClr val="0284C7"/>
                </a:solidFill>
                <a:effectLst/>
                <a:uLnTx/>
                <a:uFillTx/>
                <a:latin typeface="Aptos Narrow" panose="02110004020202020204"/>
              </a:rPr>
              <a:t>Region</a:t>
            </a:r>
          </a:p>
        </xdr:txBody>
      </xdr:sp>
      <xdr:sp macro="" textlink="">
        <xdr:nvSpPr>
          <xdr:cNvPr id="57" name="pwg_4_0">
            <a:extLst>
              <a:ext uri="{FF2B5EF4-FFF2-40B4-BE49-F238E27FC236}">
                <a16:creationId xmlns:a16="http://schemas.microsoft.com/office/drawing/2014/main" id="{69E49E76-86B0-DF19-1C42-1B1329D66BC7}"/>
              </a:ext>
            </a:extLst>
          </xdr:cNvPr>
          <xdr:cNvSpPr txBox="1"/>
        </xdr:nvSpPr>
        <xdr:spPr>
          <a:xfrm>
            <a:off x="14478000" y="288471"/>
            <a:ext cx="658586" cy="187779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-19.0%</a:t>
            </a:r>
          </a:p>
        </xdr:txBody>
      </xdr:sp>
      <xdr:sp macro="" textlink="">
        <xdr:nvSpPr>
          <xdr:cNvPr id="58" name="pwb_4_0">
            <a:extLst>
              <a:ext uri="{FF2B5EF4-FFF2-40B4-BE49-F238E27FC236}">
                <a16:creationId xmlns:a16="http://schemas.microsoft.com/office/drawing/2014/main" id="{846E0980-F5DE-9B68-FAD5-D07EB61DF165}"/>
              </a:ext>
            </a:extLst>
          </xdr:cNvPr>
          <xdr:cNvSpPr txBox="1"/>
        </xdr:nvSpPr>
        <xdr:spPr>
          <a:xfrm>
            <a:off x="15604671" y="288471"/>
            <a:ext cx="696686" cy="187779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-87 bps</a:t>
            </a:r>
          </a:p>
        </xdr:txBody>
      </xdr:sp>
      <xdr:sp macro="" textlink="">
        <xdr:nvSpPr>
          <xdr:cNvPr id="59" name="pwg_4_1">
            <a:extLst>
              <a:ext uri="{FF2B5EF4-FFF2-40B4-BE49-F238E27FC236}">
                <a16:creationId xmlns:a16="http://schemas.microsoft.com/office/drawing/2014/main" id="{AAB72BD5-1812-FC0B-103A-C90F20E95805}"/>
              </a:ext>
            </a:extLst>
          </xdr:cNvPr>
          <xdr:cNvSpPr txBox="1"/>
        </xdr:nvSpPr>
        <xdr:spPr>
          <a:xfrm>
            <a:off x="14478000" y="926811"/>
            <a:ext cx="658586" cy="187778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-13.5%</a:t>
            </a:r>
          </a:p>
        </xdr:txBody>
      </xdr:sp>
      <xdr:sp macro="" textlink="">
        <xdr:nvSpPr>
          <xdr:cNvPr id="60" name="pwb_4_1">
            <a:extLst>
              <a:ext uri="{FF2B5EF4-FFF2-40B4-BE49-F238E27FC236}">
                <a16:creationId xmlns:a16="http://schemas.microsoft.com/office/drawing/2014/main" id="{5CDA8632-2E23-5B29-174D-6160611DC7EF}"/>
              </a:ext>
            </a:extLst>
          </xdr:cNvPr>
          <xdr:cNvSpPr txBox="1"/>
        </xdr:nvSpPr>
        <xdr:spPr>
          <a:xfrm>
            <a:off x="15604671" y="926811"/>
            <a:ext cx="696686" cy="187778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-109 bps</a:t>
            </a:r>
          </a:p>
        </xdr:txBody>
      </xdr:sp>
      <xdr:sp macro="" textlink="">
        <xdr:nvSpPr>
          <xdr:cNvPr id="61" name="pwg_4_2">
            <a:extLst>
              <a:ext uri="{FF2B5EF4-FFF2-40B4-BE49-F238E27FC236}">
                <a16:creationId xmlns:a16="http://schemas.microsoft.com/office/drawing/2014/main" id="{7893DE1C-23F9-B497-819F-014F76E35EF0}"/>
              </a:ext>
            </a:extLst>
          </xdr:cNvPr>
          <xdr:cNvSpPr txBox="1"/>
        </xdr:nvSpPr>
        <xdr:spPr>
          <a:xfrm>
            <a:off x="14478000" y="2224868"/>
            <a:ext cx="658586" cy="187778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-2.3%</a:t>
            </a:r>
          </a:p>
        </xdr:txBody>
      </xdr:sp>
      <xdr:sp macro="" textlink="">
        <xdr:nvSpPr>
          <xdr:cNvPr id="62" name="pwb_4_2">
            <a:extLst>
              <a:ext uri="{FF2B5EF4-FFF2-40B4-BE49-F238E27FC236}">
                <a16:creationId xmlns:a16="http://schemas.microsoft.com/office/drawing/2014/main" id="{0FF246E2-5DE5-7D74-B87F-7B77F7BEB431}"/>
              </a:ext>
            </a:extLst>
          </xdr:cNvPr>
          <xdr:cNvSpPr txBox="1"/>
        </xdr:nvSpPr>
        <xdr:spPr>
          <a:xfrm>
            <a:off x="15604671" y="2224868"/>
            <a:ext cx="696686" cy="187778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4 bps</a:t>
            </a:r>
          </a:p>
        </xdr:txBody>
      </xdr:sp>
      <xdr:sp macro="" textlink="">
        <xdr:nvSpPr>
          <xdr:cNvPr id="63" name="pwg_4_3">
            <a:extLst>
              <a:ext uri="{FF2B5EF4-FFF2-40B4-BE49-F238E27FC236}">
                <a16:creationId xmlns:a16="http://schemas.microsoft.com/office/drawing/2014/main" id="{267CDD9F-4C4C-38D3-60D5-892D0F527D25}"/>
              </a:ext>
            </a:extLst>
          </xdr:cNvPr>
          <xdr:cNvSpPr txBox="1"/>
        </xdr:nvSpPr>
        <xdr:spPr>
          <a:xfrm>
            <a:off x="14478000" y="4450588"/>
            <a:ext cx="658586" cy="187778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+8.1%</a:t>
            </a:r>
          </a:p>
        </xdr:txBody>
      </xdr:sp>
      <xdr:sp macro="" textlink="">
        <xdr:nvSpPr>
          <xdr:cNvPr id="64" name="pwb_4_3">
            <a:extLst>
              <a:ext uri="{FF2B5EF4-FFF2-40B4-BE49-F238E27FC236}">
                <a16:creationId xmlns:a16="http://schemas.microsoft.com/office/drawing/2014/main" id="{D9A0ECED-44E2-8E07-00E0-263840EF4024}"/>
              </a:ext>
            </a:extLst>
          </xdr:cNvPr>
          <xdr:cNvSpPr txBox="1"/>
        </xdr:nvSpPr>
        <xdr:spPr>
          <a:xfrm>
            <a:off x="15604671" y="4450588"/>
            <a:ext cx="696686" cy="187778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195 bps</a:t>
            </a:r>
          </a:p>
        </xdr:txBody>
      </xdr:sp>
      <xdr:sp macro="" textlink="">
        <xdr:nvSpPr>
          <xdr:cNvPr id="65" name="pwg_4_4">
            <a:extLst>
              <a:ext uri="{FF2B5EF4-FFF2-40B4-BE49-F238E27FC236}">
                <a16:creationId xmlns:a16="http://schemas.microsoft.com/office/drawing/2014/main" id="{7F5CA10B-12FF-4EDA-E966-8B137491C355}"/>
              </a:ext>
            </a:extLst>
          </xdr:cNvPr>
          <xdr:cNvSpPr txBox="1"/>
        </xdr:nvSpPr>
        <xdr:spPr>
          <a:xfrm>
            <a:off x="14478000" y="7427096"/>
            <a:ext cx="658586" cy="187778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-12.5%</a:t>
            </a:r>
          </a:p>
        </xdr:txBody>
      </xdr:sp>
      <xdr:sp macro="" textlink="">
        <xdr:nvSpPr>
          <xdr:cNvPr id="66" name="pwb_4_4">
            <a:extLst>
              <a:ext uri="{FF2B5EF4-FFF2-40B4-BE49-F238E27FC236}">
                <a16:creationId xmlns:a16="http://schemas.microsoft.com/office/drawing/2014/main" id="{CDA788D2-A423-BAF8-2AE2-25FD1789237A}"/>
              </a:ext>
            </a:extLst>
          </xdr:cNvPr>
          <xdr:cNvSpPr txBox="1"/>
        </xdr:nvSpPr>
        <xdr:spPr>
          <a:xfrm>
            <a:off x="15604671" y="7427096"/>
            <a:ext cx="696686" cy="187778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-47 bps</a:t>
            </a:r>
          </a:p>
        </xdr:txBody>
      </xdr:sp>
      <xdr:sp macro="" textlink="">
        <xdr:nvSpPr>
          <xdr:cNvPr id="67" name="pwh_4">
            <a:extLst>
              <a:ext uri="{FF2B5EF4-FFF2-40B4-BE49-F238E27FC236}">
                <a16:creationId xmlns:a16="http://schemas.microsoft.com/office/drawing/2014/main" id="{1C47C9D2-EF65-F9CB-F43B-A48807408E05}"/>
              </a:ext>
            </a:extLst>
          </xdr:cNvPr>
          <xdr:cNvSpPr txBox="1"/>
        </xdr:nvSpPr>
        <xdr:spPr>
          <a:xfrm>
            <a:off x="14439900" y="8133443"/>
            <a:ext cx="1899557" cy="324757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t">
            <a:spAutoFit/>
          </a:bodyPr>
          <a:lstStyle/>
          <a:p>
            <a:pPr algn="ctr"/>
            <a:r>
              <a:rPr kumimoji="0" lang="en-US" sz="1500" b="1" i="0" u="none" strike="noStrike" kern="0" cap="none" spc="0" normalizeH="0" baseline="0" noProof="0">
                <a:ln>
                  <a:noFill/>
                </a:ln>
                <a:solidFill>
                  <a:srgbClr val="0284C7"/>
                </a:solidFill>
                <a:effectLst/>
                <a:uLnTx/>
                <a:uFillTx/>
                <a:latin typeface="Aptos Narrow" panose="02110004020202020204"/>
              </a:rPr>
              <a:t>Packsize</a:t>
            </a:r>
          </a:p>
        </xdr:txBody>
      </xdr:sp>
      <xdr:sp macro="" textlink="">
        <xdr:nvSpPr>
          <xdr:cNvPr id="68" name="pw_title">
            <a:extLst>
              <a:ext uri="{FF2B5EF4-FFF2-40B4-BE49-F238E27FC236}">
                <a16:creationId xmlns:a16="http://schemas.microsoft.com/office/drawing/2014/main" id="{0148EF7D-7682-B215-19B3-D191302AA743}"/>
              </a:ext>
            </a:extLst>
          </xdr:cNvPr>
          <xdr:cNvSpPr txBox="1"/>
        </xdr:nvSpPr>
        <xdr:spPr>
          <a:xfrm>
            <a:off x="6843486" y="0"/>
            <a:ext cx="9495971" cy="250371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t">
            <a:spAutoFit/>
          </a:bodyPr>
          <a:lstStyle/>
          <a:p>
            <a:pPr algn="ctr"/>
            <a:r>
              <a:rPr kumimoji="0" lang="en-US" sz="13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POWDER — Columnar Marimekko Decomposition</a:t>
            </a:r>
          </a:p>
        </xdr:txBody>
      </xdr:sp>
    </xdr:grpSp>
    <xdr:clientData/>
  </xdr:twoCellAnchor>
  <xdr:twoCellAnchor>
    <xdr:from>
      <xdr:col>7</xdr:col>
      <xdr:colOff>522514</xdr:colOff>
      <xdr:row>47</xdr:row>
      <xdr:rowOff>123371</xdr:rowOff>
    </xdr:from>
    <xdr:to>
      <xdr:col>23</xdr:col>
      <xdr:colOff>322943</xdr:colOff>
      <xdr:row>94</xdr:row>
      <xdr:rowOff>170543</xdr:rowOff>
    </xdr:to>
    <xdr:grpSp>
      <xdr:nvGrpSpPr>
        <xdr:cNvPr id="128" name="LIQUID_Decomposition">
          <a:extLst>
            <a:ext uri="{FF2B5EF4-FFF2-40B4-BE49-F238E27FC236}">
              <a16:creationId xmlns:a16="http://schemas.microsoft.com/office/drawing/2014/main" id="{A36678F7-7D77-0B01-D343-98BB6B891AD1}"/>
            </a:ext>
          </a:extLst>
        </xdr:cNvPr>
        <xdr:cNvGrpSpPr/>
      </xdr:nvGrpSpPr>
      <xdr:grpSpPr>
        <a:xfrm>
          <a:off x="6845300" y="8686800"/>
          <a:ext cx="9525000" cy="8610600"/>
          <a:chOff x="6845300" y="8686800"/>
          <a:chExt cx="9525000" cy="8610600"/>
        </a:xfrm>
      </xdr:grpSpPr>
      <xdr:sp macro="" textlink="">
        <xdr:nvSpPr>
          <xdr:cNvPr id="71" name="lq_0_0">
            <a:extLst>
              <a:ext uri="{FF2B5EF4-FFF2-40B4-BE49-F238E27FC236}">
                <a16:creationId xmlns:a16="http://schemas.microsoft.com/office/drawing/2014/main" id="{71A57182-E094-488B-9E2C-26ABC20FAFB6}"/>
              </a:ext>
            </a:extLst>
          </xdr:cNvPr>
          <xdr:cNvSpPr/>
        </xdr:nvSpPr>
        <xdr:spPr>
          <a:xfrm>
            <a:off x="6845300" y="8966200"/>
            <a:ext cx="1905000" cy="7873999"/>
          </a:xfrm>
          <a:prstGeom prst="rect">
            <a:avLst/>
          </a:prstGeom>
          <a:solidFill>
            <a:srgbClr val="1B8129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4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39.4%
LIQUID</a:t>
            </a:r>
          </a:p>
        </xdr:txBody>
      </xdr:sp>
      <xdr:sp macro="" textlink="">
        <xdr:nvSpPr>
          <xdr:cNvPr id="72" name="lq_1_0">
            <a:extLst>
              <a:ext uri="{FF2B5EF4-FFF2-40B4-BE49-F238E27FC236}">
                <a16:creationId xmlns:a16="http://schemas.microsoft.com/office/drawing/2014/main" id="{52E5AF6A-E49D-44AC-A434-FA7B669BBFE3}"/>
              </a:ext>
            </a:extLst>
          </xdr:cNvPr>
          <xdr:cNvSpPr/>
        </xdr:nvSpPr>
        <xdr:spPr>
          <a:xfrm>
            <a:off x="8750300" y="8966200"/>
            <a:ext cx="1905000" cy="2794587"/>
          </a:xfrm>
          <a:prstGeom prst="rect">
            <a:avLst/>
          </a:prstGeom>
          <a:solidFill>
            <a:srgbClr val="D81E3A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4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14.0%
SH CHAIN</a:t>
            </a:r>
          </a:p>
        </xdr:txBody>
      </xdr:sp>
      <xdr:sp macro="" textlink="">
        <xdr:nvSpPr>
          <xdr:cNvPr id="73" name="lq_1_1">
            <a:extLst>
              <a:ext uri="{FF2B5EF4-FFF2-40B4-BE49-F238E27FC236}">
                <a16:creationId xmlns:a16="http://schemas.microsoft.com/office/drawing/2014/main" id="{06DA5E0B-1D30-4C92-B06D-A34A6E52F4C7}"/>
              </a:ext>
            </a:extLst>
          </xdr:cNvPr>
          <xdr:cNvSpPr/>
        </xdr:nvSpPr>
        <xdr:spPr>
          <a:xfrm>
            <a:off x="8750300" y="11760787"/>
            <a:ext cx="1905000" cy="148712"/>
          </a:xfrm>
          <a:prstGeom prst="rect">
            <a:avLst/>
          </a:prstGeom>
          <a:solidFill>
            <a:srgbClr val="1B8129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/>
          </a:p>
        </xdr:txBody>
      </xdr:sp>
      <xdr:sp macro="" textlink="">
        <xdr:nvSpPr>
          <xdr:cNvPr id="74" name="lq_1_2">
            <a:extLst>
              <a:ext uri="{FF2B5EF4-FFF2-40B4-BE49-F238E27FC236}">
                <a16:creationId xmlns:a16="http://schemas.microsoft.com/office/drawing/2014/main" id="{DA75E487-4AEC-49DB-AF2F-2B6BB1BFF43A}"/>
              </a:ext>
            </a:extLst>
          </xdr:cNvPr>
          <xdr:cNvSpPr/>
        </xdr:nvSpPr>
        <xdr:spPr>
          <a:xfrm>
            <a:off x="8750300" y="11909499"/>
            <a:ext cx="1905000" cy="894061"/>
          </a:xfrm>
          <a:prstGeom prst="rect">
            <a:avLst/>
          </a:prstGeom>
          <a:solidFill>
            <a:srgbClr val="D81E3A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4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4.5%
OT</a:t>
            </a:r>
          </a:p>
        </xdr:txBody>
      </xdr:sp>
      <xdr:sp macro="" textlink="">
        <xdr:nvSpPr>
          <xdr:cNvPr id="75" name="lq_1_3">
            <a:extLst>
              <a:ext uri="{FF2B5EF4-FFF2-40B4-BE49-F238E27FC236}">
                <a16:creationId xmlns:a16="http://schemas.microsoft.com/office/drawing/2014/main" id="{92CABB06-0487-4898-AF37-C07D0E710F31}"/>
              </a:ext>
            </a:extLst>
          </xdr:cNvPr>
          <xdr:cNvSpPr/>
        </xdr:nvSpPr>
        <xdr:spPr>
          <a:xfrm>
            <a:off x="8750300" y="12803561"/>
            <a:ext cx="1905000" cy="1791235"/>
          </a:xfrm>
          <a:prstGeom prst="rect">
            <a:avLst/>
          </a:prstGeom>
          <a:solidFill>
            <a:srgbClr val="1B8129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4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9.0%
LMT</a:t>
            </a:r>
          </a:p>
        </xdr:txBody>
      </xdr:sp>
      <xdr:sp macro="" textlink="">
        <xdr:nvSpPr>
          <xdr:cNvPr id="76" name="lq_1_4">
            <a:extLst>
              <a:ext uri="{FF2B5EF4-FFF2-40B4-BE49-F238E27FC236}">
                <a16:creationId xmlns:a16="http://schemas.microsoft.com/office/drawing/2014/main" id="{26D6933A-5966-43F9-B477-136ADFE4CBCC}"/>
              </a:ext>
            </a:extLst>
          </xdr:cNvPr>
          <xdr:cNvSpPr/>
        </xdr:nvSpPr>
        <xdr:spPr>
          <a:xfrm>
            <a:off x="8750300" y="14594797"/>
            <a:ext cx="1905000" cy="2245402"/>
          </a:xfrm>
          <a:prstGeom prst="rect">
            <a:avLst/>
          </a:prstGeom>
          <a:solidFill>
            <a:srgbClr val="1B8129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4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11.2%
CVS</a:t>
            </a:r>
          </a:p>
        </xdr:txBody>
      </xdr:sp>
      <xdr:sp macro="" textlink="">
        <xdr:nvSpPr>
          <xdr:cNvPr id="77" name="lq_2_0">
            <a:extLst>
              <a:ext uri="{FF2B5EF4-FFF2-40B4-BE49-F238E27FC236}">
                <a16:creationId xmlns:a16="http://schemas.microsoft.com/office/drawing/2014/main" id="{813E0EE6-B40D-4F0D-AE1B-F1200FB827CA}"/>
              </a:ext>
            </a:extLst>
          </xdr:cNvPr>
          <xdr:cNvSpPr/>
        </xdr:nvSpPr>
        <xdr:spPr>
          <a:xfrm>
            <a:off x="10655300" y="8966200"/>
            <a:ext cx="1905000" cy="400027"/>
          </a:xfrm>
          <a:prstGeom prst="rect">
            <a:avLst/>
          </a:prstGeom>
          <a:solidFill>
            <a:srgbClr val="1B8129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0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2.0%
TIER1</a:t>
            </a:r>
          </a:p>
        </xdr:txBody>
      </xdr:sp>
      <xdr:sp macro="" textlink="">
        <xdr:nvSpPr>
          <xdr:cNvPr id="78" name="lq_2_1">
            <a:extLst>
              <a:ext uri="{FF2B5EF4-FFF2-40B4-BE49-F238E27FC236}">
                <a16:creationId xmlns:a16="http://schemas.microsoft.com/office/drawing/2014/main" id="{C035C481-D3A9-4DA1-95DA-E50BA7114BAB}"/>
              </a:ext>
            </a:extLst>
          </xdr:cNvPr>
          <xdr:cNvSpPr/>
        </xdr:nvSpPr>
        <xdr:spPr>
          <a:xfrm>
            <a:off x="10655300" y="9366227"/>
            <a:ext cx="1905000" cy="1661969"/>
          </a:xfrm>
          <a:prstGeom prst="rect">
            <a:avLst/>
          </a:prstGeom>
          <a:solidFill>
            <a:srgbClr val="D81E3A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4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8.3%
TIER2</a:t>
            </a:r>
          </a:p>
        </xdr:txBody>
      </xdr:sp>
      <xdr:sp macro="" textlink="">
        <xdr:nvSpPr>
          <xdr:cNvPr id="79" name="lq_2_2">
            <a:extLst>
              <a:ext uri="{FF2B5EF4-FFF2-40B4-BE49-F238E27FC236}">
                <a16:creationId xmlns:a16="http://schemas.microsoft.com/office/drawing/2014/main" id="{9B30567F-DE8A-4D3A-ABFC-153F06EAE3B3}"/>
              </a:ext>
            </a:extLst>
          </xdr:cNvPr>
          <xdr:cNvSpPr/>
        </xdr:nvSpPr>
        <xdr:spPr>
          <a:xfrm>
            <a:off x="10655300" y="11028196"/>
            <a:ext cx="1905000" cy="5800402"/>
          </a:xfrm>
          <a:prstGeom prst="rect">
            <a:avLst/>
          </a:prstGeom>
          <a:solidFill>
            <a:srgbClr val="1B8129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4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29.0%
TIER3</a:t>
            </a:r>
          </a:p>
        </xdr:txBody>
      </xdr:sp>
      <xdr:sp macro="" textlink="">
        <xdr:nvSpPr>
          <xdr:cNvPr id="80" name="lq_3_0">
            <a:extLst>
              <a:ext uri="{FF2B5EF4-FFF2-40B4-BE49-F238E27FC236}">
                <a16:creationId xmlns:a16="http://schemas.microsoft.com/office/drawing/2014/main" id="{F65DEE88-3D03-482A-86A6-5BCE8D66820B}"/>
              </a:ext>
            </a:extLst>
          </xdr:cNvPr>
          <xdr:cNvSpPr/>
        </xdr:nvSpPr>
        <xdr:spPr>
          <a:xfrm>
            <a:off x="12560300" y="8966200"/>
            <a:ext cx="1905000" cy="2899782"/>
          </a:xfrm>
          <a:prstGeom prst="rect">
            <a:avLst/>
          </a:prstGeom>
          <a:solidFill>
            <a:srgbClr val="1B8129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4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14.5%
GBKK</a:t>
            </a:r>
          </a:p>
        </xdr:txBody>
      </xdr:sp>
      <xdr:sp macro="" textlink="">
        <xdr:nvSpPr>
          <xdr:cNvPr id="81" name="lq_3_1">
            <a:extLst>
              <a:ext uri="{FF2B5EF4-FFF2-40B4-BE49-F238E27FC236}">
                <a16:creationId xmlns:a16="http://schemas.microsoft.com/office/drawing/2014/main" id="{13F41A34-FDF0-46D3-934B-1F00EFB46743}"/>
              </a:ext>
            </a:extLst>
          </xdr:cNvPr>
          <xdr:cNvSpPr/>
        </xdr:nvSpPr>
        <xdr:spPr>
          <a:xfrm>
            <a:off x="12560300" y="11865982"/>
            <a:ext cx="1905000" cy="2100103"/>
          </a:xfrm>
          <a:prstGeom prst="rect">
            <a:avLst/>
          </a:prstGeom>
          <a:solidFill>
            <a:srgbClr val="1B8129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4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10.5%
CENTRAL</a:t>
            </a:r>
          </a:p>
        </xdr:txBody>
      </xdr:sp>
      <xdr:sp macro="" textlink="">
        <xdr:nvSpPr>
          <xdr:cNvPr id="82" name="lq_3_2">
            <a:extLst>
              <a:ext uri="{FF2B5EF4-FFF2-40B4-BE49-F238E27FC236}">
                <a16:creationId xmlns:a16="http://schemas.microsoft.com/office/drawing/2014/main" id="{D92C41BB-1145-4DD8-ABE3-B938B3F4CD76}"/>
              </a:ext>
            </a:extLst>
          </xdr:cNvPr>
          <xdr:cNvSpPr/>
        </xdr:nvSpPr>
        <xdr:spPr>
          <a:xfrm>
            <a:off x="12560300" y="13966086"/>
            <a:ext cx="1905000" cy="848574"/>
          </a:xfrm>
          <a:prstGeom prst="rect">
            <a:avLst/>
          </a:prstGeom>
          <a:solidFill>
            <a:srgbClr val="1B8129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4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4.2%
NORTH</a:t>
            </a:r>
          </a:p>
        </xdr:txBody>
      </xdr:sp>
      <xdr:sp macro="" textlink="">
        <xdr:nvSpPr>
          <xdr:cNvPr id="83" name="lq_3_3">
            <a:extLst>
              <a:ext uri="{FF2B5EF4-FFF2-40B4-BE49-F238E27FC236}">
                <a16:creationId xmlns:a16="http://schemas.microsoft.com/office/drawing/2014/main" id="{36BE637D-5111-430C-BBD6-F5CFC46CF443}"/>
              </a:ext>
            </a:extLst>
          </xdr:cNvPr>
          <xdr:cNvSpPr/>
        </xdr:nvSpPr>
        <xdr:spPr>
          <a:xfrm>
            <a:off x="12560300" y="14814661"/>
            <a:ext cx="1905000" cy="1320046"/>
          </a:xfrm>
          <a:prstGeom prst="rect">
            <a:avLst/>
          </a:prstGeom>
          <a:solidFill>
            <a:srgbClr val="1B8129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4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6.6%
NORTHEAST</a:t>
            </a:r>
          </a:p>
        </xdr:txBody>
      </xdr:sp>
      <xdr:sp macro="" textlink="">
        <xdr:nvSpPr>
          <xdr:cNvPr id="84" name="lq_3_4">
            <a:extLst>
              <a:ext uri="{FF2B5EF4-FFF2-40B4-BE49-F238E27FC236}">
                <a16:creationId xmlns:a16="http://schemas.microsoft.com/office/drawing/2014/main" id="{65EEEF58-5893-4A33-9A1A-53B910754EC3}"/>
              </a:ext>
            </a:extLst>
          </xdr:cNvPr>
          <xdr:cNvSpPr/>
        </xdr:nvSpPr>
        <xdr:spPr>
          <a:xfrm>
            <a:off x="12560300" y="16134708"/>
            <a:ext cx="1905000" cy="705491"/>
          </a:xfrm>
          <a:prstGeom prst="rect">
            <a:avLst/>
          </a:prstGeom>
          <a:solidFill>
            <a:srgbClr val="1B8129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0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3.5%
SOUTH</a:t>
            </a:r>
          </a:p>
        </xdr:txBody>
      </xdr:sp>
      <xdr:sp macro="" textlink="">
        <xdr:nvSpPr>
          <xdr:cNvPr id="85" name="lq_4_0">
            <a:extLst>
              <a:ext uri="{FF2B5EF4-FFF2-40B4-BE49-F238E27FC236}">
                <a16:creationId xmlns:a16="http://schemas.microsoft.com/office/drawing/2014/main" id="{8F2E4E60-6A71-44A0-8254-5BE6E17F6F96}"/>
              </a:ext>
            </a:extLst>
          </xdr:cNvPr>
          <xdr:cNvSpPr/>
        </xdr:nvSpPr>
        <xdr:spPr>
          <a:xfrm>
            <a:off x="14465300" y="8966200"/>
            <a:ext cx="1905000" cy="264509"/>
          </a:xfrm>
          <a:prstGeom prst="rect">
            <a:avLst/>
          </a:prstGeom>
          <a:solidFill>
            <a:srgbClr val="D81E3A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/>
          </a:p>
        </xdr:txBody>
      </xdr:sp>
      <xdr:sp macro="" textlink="">
        <xdr:nvSpPr>
          <xdr:cNvPr id="86" name="lq_4_1">
            <a:extLst>
              <a:ext uri="{FF2B5EF4-FFF2-40B4-BE49-F238E27FC236}">
                <a16:creationId xmlns:a16="http://schemas.microsoft.com/office/drawing/2014/main" id="{4E7FA448-CAB1-4EEC-A4C3-E8254F25AC32}"/>
              </a:ext>
            </a:extLst>
          </xdr:cNvPr>
          <xdr:cNvSpPr/>
        </xdr:nvSpPr>
        <xdr:spPr>
          <a:xfrm>
            <a:off x="14465300" y="9230709"/>
            <a:ext cx="1905000" cy="341777"/>
          </a:xfrm>
          <a:prstGeom prst="rect">
            <a:avLst/>
          </a:prstGeom>
          <a:solidFill>
            <a:srgbClr val="D81E3A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0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1.7%
M</a:t>
            </a:r>
          </a:p>
        </xdr:txBody>
      </xdr:sp>
      <xdr:sp macro="" textlink="">
        <xdr:nvSpPr>
          <xdr:cNvPr id="87" name="lq_4_2">
            <a:extLst>
              <a:ext uri="{FF2B5EF4-FFF2-40B4-BE49-F238E27FC236}">
                <a16:creationId xmlns:a16="http://schemas.microsoft.com/office/drawing/2014/main" id="{AD855EEB-BDA8-43CB-A2D5-B99467EF9806}"/>
              </a:ext>
            </a:extLst>
          </xdr:cNvPr>
          <xdr:cNvSpPr/>
        </xdr:nvSpPr>
        <xdr:spPr>
          <a:xfrm>
            <a:off x="14465300" y="9572487"/>
            <a:ext cx="1905000" cy="3740606"/>
          </a:xfrm>
          <a:prstGeom prst="rect">
            <a:avLst/>
          </a:prstGeom>
          <a:solidFill>
            <a:srgbClr val="1B8129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4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18.7%
L</a:t>
            </a:r>
          </a:p>
        </xdr:txBody>
      </xdr:sp>
      <xdr:sp macro="" textlink="">
        <xdr:nvSpPr>
          <xdr:cNvPr id="88" name="lq_4_3">
            <a:extLst>
              <a:ext uri="{FF2B5EF4-FFF2-40B4-BE49-F238E27FC236}">
                <a16:creationId xmlns:a16="http://schemas.microsoft.com/office/drawing/2014/main" id="{C3C16823-E14F-498F-B976-7A6DB6F9518D}"/>
              </a:ext>
            </a:extLst>
          </xdr:cNvPr>
          <xdr:cNvSpPr/>
        </xdr:nvSpPr>
        <xdr:spPr>
          <a:xfrm>
            <a:off x="14465300" y="13313094"/>
            <a:ext cx="1905000" cy="3515895"/>
          </a:xfrm>
          <a:prstGeom prst="rect">
            <a:avLst/>
          </a:prstGeom>
          <a:solidFill>
            <a:srgbClr val="1B8129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4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17.6%
XL</a:t>
            </a:r>
          </a:p>
        </xdr:txBody>
      </xdr:sp>
      <xdr:sp macro="" textlink="">
        <xdr:nvSpPr>
          <xdr:cNvPr id="89" name="lq_4_4">
            <a:extLst>
              <a:ext uri="{FF2B5EF4-FFF2-40B4-BE49-F238E27FC236}">
                <a16:creationId xmlns:a16="http://schemas.microsoft.com/office/drawing/2014/main" id="{1089C47B-6B7C-49DF-B2F0-6FDEE48386C3}"/>
              </a:ext>
            </a:extLst>
          </xdr:cNvPr>
          <xdr:cNvSpPr/>
        </xdr:nvSpPr>
        <xdr:spPr>
          <a:xfrm>
            <a:off x="14465300" y="16828989"/>
            <a:ext cx="1905000" cy="11210"/>
          </a:xfrm>
          <a:prstGeom prst="rect">
            <a:avLst/>
          </a:prstGeom>
          <a:solidFill>
            <a:srgbClr val="1B8129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/>
          </a:p>
        </xdr:txBody>
      </xdr:sp>
      <xdr:sp macro="" textlink="">
        <xdr:nvSpPr>
          <xdr:cNvPr id="90" name="lqg_0_0">
            <a:extLst>
              <a:ext uri="{FF2B5EF4-FFF2-40B4-BE49-F238E27FC236}">
                <a16:creationId xmlns:a16="http://schemas.microsoft.com/office/drawing/2014/main" id="{3B9FCAE2-3F1D-7FE7-AD4A-15D3D9F53B9C}"/>
              </a:ext>
            </a:extLst>
          </xdr:cNvPr>
          <xdr:cNvSpPr txBox="1"/>
        </xdr:nvSpPr>
        <xdr:spPr>
          <a:xfrm>
            <a:off x="6883400" y="9004300"/>
            <a:ext cx="660400" cy="190500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+27.5%</a:t>
            </a:r>
          </a:p>
        </xdr:txBody>
      </xdr:sp>
      <xdr:sp macro="" textlink="">
        <xdr:nvSpPr>
          <xdr:cNvPr id="91" name="lqb_0_0">
            <a:extLst>
              <a:ext uri="{FF2B5EF4-FFF2-40B4-BE49-F238E27FC236}">
                <a16:creationId xmlns:a16="http://schemas.microsoft.com/office/drawing/2014/main" id="{710EF587-BF69-D7ED-8E44-97D4FC44BE45}"/>
              </a:ext>
            </a:extLst>
          </xdr:cNvPr>
          <xdr:cNvSpPr txBox="1"/>
        </xdr:nvSpPr>
        <xdr:spPr>
          <a:xfrm>
            <a:off x="8013700" y="9004300"/>
            <a:ext cx="698500" cy="1905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242 bps</a:t>
            </a:r>
          </a:p>
        </xdr:txBody>
      </xdr:sp>
      <xdr:sp macro="" textlink="">
        <xdr:nvSpPr>
          <xdr:cNvPr id="92" name="lqh_0">
            <a:extLst>
              <a:ext uri="{FF2B5EF4-FFF2-40B4-BE49-F238E27FC236}">
                <a16:creationId xmlns:a16="http://schemas.microsoft.com/office/drawing/2014/main" id="{1C630A98-740B-39EA-CA72-B525B30A18B6}"/>
              </a:ext>
            </a:extLst>
          </xdr:cNvPr>
          <xdr:cNvSpPr txBox="1"/>
        </xdr:nvSpPr>
        <xdr:spPr>
          <a:xfrm>
            <a:off x="6845300" y="16967200"/>
            <a:ext cx="1905000" cy="3302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t">
            <a:spAutoFit/>
          </a:bodyPr>
          <a:lstStyle/>
          <a:p>
            <a:pPr algn="ctr"/>
            <a:r>
              <a:rPr kumimoji="0" lang="en-US" sz="1500" b="1" i="0" u="none" strike="noStrike" kern="0" cap="none" spc="0" normalizeH="0" baseline="0" noProof="0">
                <a:ln>
                  <a:noFill/>
                </a:ln>
                <a:solidFill>
                  <a:srgbClr val="0284C7"/>
                </a:solidFill>
                <a:effectLst/>
                <a:uLnTx/>
                <a:uFillTx/>
                <a:latin typeface="Aptos Narrow" panose="02110004020202020204"/>
              </a:rPr>
              <a:t>Total TH</a:t>
            </a:r>
          </a:p>
        </xdr:txBody>
      </xdr:sp>
      <xdr:sp macro="" textlink="">
        <xdr:nvSpPr>
          <xdr:cNvPr id="93" name="lqg_1_0">
            <a:extLst>
              <a:ext uri="{FF2B5EF4-FFF2-40B4-BE49-F238E27FC236}">
                <a16:creationId xmlns:a16="http://schemas.microsoft.com/office/drawing/2014/main" id="{24F3F1AC-FAB8-AEE6-8765-A1CDE8D89028}"/>
              </a:ext>
            </a:extLst>
          </xdr:cNvPr>
          <xdr:cNvSpPr txBox="1"/>
        </xdr:nvSpPr>
        <xdr:spPr>
          <a:xfrm>
            <a:off x="8788400" y="9004300"/>
            <a:ext cx="660400" cy="190500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+18.1%</a:t>
            </a:r>
          </a:p>
        </xdr:txBody>
      </xdr:sp>
      <xdr:sp macro="" textlink="">
        <xdr:nvSpPr>
          <xdr:cNvPr id="94" name="lqb_1_0">
            <a:extLst>
              <a:ext uri="{FF2B5EF4-FFF2-40B4-BE49-F238E27FC236}">
                <a16:creationId xmlns:a16="http://schemas.microsoft.com/office/drawing/2014/main" id="{71409394-9BD4-6E6D-E343-6DC7C5844A52}"/>
              </a:ext>
            </a:extLst>
          </xdr:cNvPr>
          <xdr:cNvSpPr txBox="1"/>
        </xdr:nvSpPr>
        <xdr:spPr>
          <a:xfrm>
            <a:off x="9918700" y="9004300"/>
            <a:ext cx="698500" cy="1905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-85 bps</a:t>
            </a:r>
          </a:p>
        </xdr:txBody>
      </xdr:sp>
      <xdr:sp macro="" textlink="">
        <xdr:nvSpPr>
          <xdr:cNvPr id="95" name="lqg_1_2">
            <a:extLst>
              <a:ext uri="{FF2B5EF4-FFF2-40B4-BE49-F238E27FC236}">
                <a16:creationId xmlns:a16="http://schemas.microsoft.com/office/drawing/2014/main" id="{48649C9A-95FF-63AC-DEE9-59A3C533C0DB}"/>
              </a:ext>
            </a:extLst>
          </xdr:cNvPr>
          <xdr:cNvSpPr txBox="1"/>
        </xdr:nvSpPr>
        <xdr:spPr>
          <a:xfrm>
            <a:off x="8788400" y="11947599"/>
            <a:ext cx="660400" cy="190500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+20.7%</a:t>
            </a:r>
          </a:p>
        </xdr:txBody>
      </xdr:sp>
      <xdr:sp macro="" textlink="">
        <xdr:nvSpPr>
          <xdr:cNvPr id="96" name="lqb_1_2">
            <a:extLst>
              <a:ext uri="{FF2B5EF4-FFF2-40B4-BE49-F238E27FC236}">
                <a16:creationId xmlns:a16="http://schemas.microsoft.com/office/drawing/2014/main" id="{1FB89F68-A8AC-B67E-1FCF-5593A8AC1F8E}"/>
              </a:ext>
            </a:extLst>
          </xdr:cNvPr>
          <xdr:cNvSpPr txBox="1"/>
        </xdr:nvSpPr>
        <xdr:spPr>
          <a:xfrm>
            <a:off x="9918700" y="11947599"/>
            <a:ext cx="698500" cy="1905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-17 bps</a:t>
            </a:r>
          </a:p>
        </xdr:txBody>
      </xdr:sp>
      <xdr:sp macro="" textlink="">
        <xdr:nvSpPr>
          <xdr:cNvPr id="97" name="lqg_1_3">
            <a:extLst>
              <a:ext uri="{FF2B5EF4-FFF2-40B4-BE49-F238E27FC236}">
                <a16:creationId xmlns:a16="http://schemas.microsoft.com/office/drawing/2014/main" id="{AEAA18B6-A10D-6418-427F-3ECCA5880738}"/>
              </a:ext>
            </a:extLst>
          </xdr:cNvPr>
          <xdr:cNvSpPr txBox="1"/>
        </xdr:nvSpPr>
        <xdr:spPr>
          <a:xfrm>
            <a:off x="8788400" y="12841661"/>
            <a:ext cx="660400" cy="190500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+36.1%</a:t>
            </a:r>
          </a:p>
        </xdr:txBody>
      </xdr:sp>
      <xdr:sp macro="" textlink="">
        <xdr:nvSpPr>
          <xdr:cNvPr id="98" name="lqb_1_3">
            <a:extLst>
              <a:ext uri="{FF2B5EF4-FFF2-40B4-BE49-F238E27FC236}">
                <a16:creationId xmlns:a16="http://schemas.microsoft.com/office/drawing/2014/main" id="{38A1E0D9-DB6D-A9F2-D891-A346F60D59C7}"/>
              </a:ext>
            </a:extLst>
          </xdr:cNvPr>
          <xdr:cNvSpPr txBox="1"/>
        </xdr:nvSpPr>
        <xdr:spPr>
          <a:xfrm>
            <a:off x="9918700" y="12841661"/>
            <a:ext cx="698500" cy="1905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71 bps</a:t>
            </a:r>
          </a:p>
        </xdr:txBody>
      </xdr:sp>
      <xdr:sp macro="" textlink="">
        <xdr:nvSpPr>
          <xdr:cNvPr id="99" name="lqg_1_4">
            <a:extLst>
              <a:ext uri="{FF2B5EF4-FFF2-40B4-BE49-F238E27FC236}">
                <a16:creationId xmlns:a16="http://schemas.microsoft.com/office/drawing/2014/main" id="{0A3711C7-555F-9EBC-6BBD-F0E3CD773A1D}"/>
              </a:ext>
            </a:extLst>
          </xdr:cNvPr>
          <xdr:cNvSpPr txBox="1"/>
        </xdr:nvSpPr>
        <xdr:spPr>
          <a:xfrm>
            <a:off x="8788400" y="14632897"/>
            <a:ext cx="660400" cy="190500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+64.2%</a:t>
            </a:r>
          </a:p>
        </xdr:txBody>
      </xdr:sp>
      <xdr:sp macro="" textlink="">
        <xdr:nvSpPr>
          <xdr:cNvPr id="100" name="lqb_1_4">
            <a:extLst>
              <a:ext uri="{FF2B5EF4-FFF2-40B4-BE49-F238E27FC236}">
                <a16:creationId xmlns:a16="http://schemas.microsoft.com/office/drawing/2014/main" id="{946D4994-CCFD-175C-C194-CD5E938A2002}"/>
              </a:ext>
            </a:extLst>
          </xdr:cNvPr>
          <xdr:cNvSpPr txBox="1"/>
        </xdr:nvSpPr>
        <xdr:spPr>
          <a:xfrm>
            <a:off x="9918700" y="14632897"/>
            <a:ext cx="698500" cy="1905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266 bps</a:t>
            </a:r>
          </a:p>
        </xdr:txBody>
      </xdr:sp>
      <xdr:sp macro="" textlink="">
        <xdr:nvSpPr>
          <xdr:cNvPr id="101" name="lqh_1">
            <a:extLst>
              <a:ext uri="{FF2B5EF4-FFF2-40B4-BE49-F238E27FC236}">
                <a16:creationId xmlns:a16="http://schemas.microsoft.com/office/drawing/2014/main" id="{F305722C-7E52-387B-9EF7-62F33AE1ED4E}"/>
              </a:ext>
            </a:extLst>
          </xdr:cNvPr>
          <xdr:cNvSpPr txBox="1"/>
        </xdr:nvSpPr>
        <xdr:spPr>
          <a:xfrm>
            <a:off x="8750300" y="16967200"/>
            <a:ext cx="1905000" cy="3302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t">
            <a:spAutoFit/>
          </a:bodyPr>
          <a:lstStyle/>
          <a:p>
            <a:pPr algn="ctr"/>
            <a:r>
              <a:rPr kumimoji="0" lang="en-US" sz="1500" b="1" i="0" u="none" strike="noStrike" kern="0" cap="none" spc="0" normalizeH="0" baseline="0" noProof="0">
                <a:ln>
                  <a:noFill/>
                </a:ln>
                <a:solidFill>
                  <a:srgbClr val="0284C7"/>
                </a:solidFill>
                <a:effectLst/>
                <a:uLnTx/>
                <a:uFillTx/>
                <a:latin typeface="Aptos Narrow" panose="02110004020202020204"/>
              </a:rPr>
              <a:t>Channel</a:t>
            </a:r>
          </a:p>
        </xdr:txBody>
      </xdr:sp>
      <xdr:sp macro="" textlink="">
        <xdr:nvSpPr>
          <xdr:cNvPr id="102" name="lqg_2_0">
            <a:extLst>
              <a:ext uri="{FF2B5EF4-FFF2-40B4-BE49-F238E27FC236}">
                <a16:creationId xmlns:a16="http://schemas.microsoft.com/office/drawing/2014/main" id="{D71CE606-E141-6961-389A-935D5F8B3D2F}"/>
              </a:ext>
            </a:extLst>
          </xdr:cNvPr>
          <xdr:cNvSpPr txBox="1"/>
        </xdr:nvSpPr>
        <xdr:spPr>
          <a:xfrm>
            <a:off x="10693400" y="9004300"/>
            <a:ext cx="660400" cy="190500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+208.4%</a:t>
            </a:r>
          </a:p>
        </xdr:txBody>
      </xdr:sp>
      <xdr:sp macro="" textlink="">
        <xdr:nvSpPr>
          <xdr:cNvPr id="103" name="lqb_2_0">
            <a:extLst>
              <a:ext uri="{FF2B5EF4-FFF2-40B4-BE49-F238E27FC236}">
                <a16:creationId xmlns:a16="http://schemas.microsoft.com/office/drawing/2014/main" id="{D3BBFCBF-7708-B714-1A1F-4D4E3E7F0EFB}"/>
              </a:ext>
            </a:extLst>
          </xdr:cNvPr>
          <xdr:cNvSpPr txBox="1"/>
        </xdr:nvSpPr>
        <xdr:spPr>
          <a:xfrm>
            <a:off x="11823700" y="9004300"/>
            <a:ext cx="698500" cy="1905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139 bps</a:t>
            </a:r>
          </a:p>
        </xdr:txBody>
      </xdr:sp>
      <xdr:sp macro="" textlink="">
        <xdr:nvSpPr>
          <xdr:cNvPr id="104" name="lqg_2_1">
            <a:extLst>
              <a:ext uri="{FF2B5EF4-FFF2-40B4-BE49-F238E27FC236}">
                <a16:creationId xmlns:a16="http://schemas.microsoft.com/office/drawing/2014/main" id="{C2F6E9DE-7214-B505-2189-465D8872C19B}"/>
              </a:ext>
            </a:extLst>
          </xdr:cNvPr>
          <xdr:cNvSpPr txBox="1"/>
        </xdr:nvSpPr>
        <xdr:spPr>
          <a:xfrm>
            <a:off x="10693400" y="9404327"/>
            <a:ext cx="660400" cy="190500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-4.3%</a:t>
            </a:r>
          </a:p>
        </xdr:txBody>
      </xdr:sp>
      <xdr:sp macro="" textlink="">
        <xdr:nvSpPr>
          <xdr:cNvPr id="105" name="lqb_2_1">
            <a:extLst>
              <a:ext uri="{FF2B5EF4-FFF2-40B4-BE49-F238E27FC236}">
                <a16:creationId xmlns:a16="http://schemas.microsoft.com/office/drawing/2014/main" id="{EA3A7035-1DC2-C064-7C3C-60B38F5323AA}"/>
              </a:ext>
            </a:extLst>
          </xdr:cNvPr>
          <xdr:cNvSpPr txBox="1"/>
        </xdr:nvSpPr>
        <xdr:spPr>
          <a:xfrm>
            <a:off x="11823700" y="9404327"/>
            <a:ext cx="698500" cy="1905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-237 bps</a:t>
            </a:r>
          </a:p>
        </xdr:txBody>
      </xdr:sp>
      <xdr:sp macro="" textlink="">
        <xdr:nvSpPr>
          <xdr:cNvPr id="106" name="lqg_2_2">
            <a:extLst>
              <a:ext uri="{FF2B5EF4-FFF2-40B4-BE49-F238E27FC236}">
                <a16:creationId xmlns:a16="http://schemas.microsoft.com/office/drawing/2014/main" id="{66471BA7-536A-061D-51D6-B1AC60BEB3F3}"/>
              </a:ext>
            </a:extLst>
          </xdr:cNvPr>
          <xdr:cNvSpPr txBox="1"/>
        </xdr:nvSpPr>
        <xdr:spPr>
          <a:xfrm>
            <a:off x="10693400" y="11066296"/>
            <a:ext cx="660400" cy="190500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+34.3%</a:t>
            </a:r>
          </a:p>
        </xdr:txBody>
      </xdr:sp>
      <xdr:sp macro="" textlink="">
        <xdr:nvSpPr>
          <xdr:cNvPr id="107" name="lqb_2_2">
            <a:extLst>
              <a:ext uri="{FF2B5EF4-FFF2-40B4-BE49-F238E27FC236}">
                <a16:creationId xmlns:a16="http://schemas.microsoft.com/office/drawing/2014/main" id="{225F8CF9-A35E-36BC-0563-5B1FB073A1C6}"/>
              </a:ext>
            </a:extLst>
          </xdr:cNvPr>
          <xdr:cNvSpPr txBox="1"/>
        </xdr:nvSpPr>
        <xdr:spPr>
          <a:xfrm>
            <a:off x="11823700" y="11066296"/>
            <a:ext cx="698500" cy="1905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231 bps</a:t>
            </a:r>
          </a:p>
        </xdr:txBody>
      </xdr:sp>
      <xdr:sp macro="" textlink="">
        <xdr:nvSpPr>
          <xdr:cNvPr id="108" name="lqh_2">
            <a:extLst>
              <a:ext uri="{FF2B5EF4-FFF2-40B4-BE49-F238E27FC236}">
                <a16:creationId xmlns:a16="http://schemas.microsoft.com/office/drawing/2014/main" id="{F3038676-10C0-8DE6-28E6-E539E72C7D9E}"/>
              </a:ext>
            </a:extLst>
          </xdr:cNvPr>
          <xdr:cNvSpPr txBox="1"/>
        </xdr:nvSpPr>
        <xdr:spPr>
          <a:xfrm>
            <a:off x="10655300" y="16967200"/>
            <a:ext cx="1905000" cy="3302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t">
            <a:spAutoFit/>
          </a:bodyPr>
          <a:lstStyle/>
          <a:p>
            <a:pPr algn="ctr"/>
            <a:r>
              <a:rPr kumimoji="0" lang="en-US" sz="1500" b="1" i="0" u="none" strike="noStrike" kern="0" cap="none" spc="0" normalizeH="0" baseline="0" noProof="0">
                <a:ln>
                  <a:noFill/>
                </a:ln>
                <a:solidFill>
                  <a:srgbClr val="0284C7"/>
                </a:solidFill>
                <a:effectLst/>
                <a:uLnTx/>
                <a:uFillTx/>
                <a:latin typeface="Aptos Narrow" panose="02110004020202020204"/>
              </a:rPr>
              <a:t>Price</a:t>
            </a:r>
          </a:p>
        </xdr:txBody>
      </xdr:sp>
      <xdr:sp macro="" textlink="">
        <xdr:nvSpPr>
          <xdr:cNvPr id="109" name="lqg_3_0">
            <a:extLst>
              <a:ext uri="{FF2B5EF4-FFF2-40B4-BE49-F238E27FC236}">
                <a16:creationId xmlns:a16="http://schemas.microsoft.com/office/drawing/2014/main" id="{89147DDB-8BAF-BADE-CD32-53DAD59308A0}"/>
              </a:ext>
            </a:extLst>
          </xdr:cNvPr>
          <xdr:cNvSpPr txBox="1"/>
        </xdr:nvSpPr>
        <xdr:spPr>
          <a:xfrm>
            <a:off x="12598400" y="9004300"/>
            <a:ext cx="660400" cy="190500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+36.3%</a:t>
            </a:r>
          </a:p>
        </xdr:txBody>
      </xdr:sp>
      <xdr:sp macro="" textlink="">
        <xdr:nvSpPr>
          <xdr:cNvPr id="110" name="lqb_3_0">
            <a:extLst>
              <a:ext uri="{FF2B5EF4-FFF2-40B4-BE49-F238E27FC236}">
                <a16:creationId xmlns:a16="http://schemas.microsoft.com/office/drawing/2014/main" id="{C73458A3-9023-4D95-B721-3993FBC5E4BC}"/>
              </a:ext>
            </a:extLst>
          </xdr:cNvPr>
          <xdr:cNvSpPr txBox="1"/>
        </xdr:nvSpPr>
        <xdr:spPr>
          <a:xfrm>
            <a:off x="13728700" y="9004300"/>
            <a:ext cx="698500" cy="1905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117 bps</a:t>
            </a:r>
          </a:p>
        </xdr:txBody>
      </xdr:sp>
      <xdr:sp macro="" textlink="">
        <xdr:nvSpPr>
          <xdr:cNvPr id="111" name="lqg_3_1">
            <a:extLst>
              <a:ext uri="{FF2B5EF4-FFF2-40B4-BE49-F238E27FC236}">
                <a16:creationId xmlns:a16="http://schemas.microsoft.com/office/drawing/2014/main" id="{1CE08413-DFCA-8303-5C9F-43259AE3B22E}"/>
              </a:ext>
            </a:extLst>
          </xdr:cNvPr>
          <xdr:cNvSpPr txBox="1"/>
        </xdr:nvSpPr>
        <xdr:spPr>
          <a:xfrm>
            <a:off x="12598400" y="11904082"/>
            <a:ext cx="660400" cy="190500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+29.6%</a:t>
            </a:r>
          </a:p>
        </xdr:txBody>
      </xdr:sp>
      <xdr:sp macro="" textlink="">
        <xdr:nvSpPr>
          <xdr:cNvPr id="112" name="lqb_3_1">
            <a:extLst>
              <a:ext uri="{FF2B5EF4-FFF2-40B4-BE49-F238E27FC236}">
                <a16:creationId xmlns:a16="http://schemas.microsoft.com/office/drawing/2014/main" id="{2B8FE4C1-77E0-CE18-AF91-2A36DF7AADA7}"/>
              </a:ext>
            </a:extLst>
          </xdr:cNvPr>
          <xdr:cNvSpPr txBox="1"/>
        </xdr:nvSpPr>
        <xdr:spPr>
          <a:xfrm>
            <a:off x="13728700" y="11904082"/>
            <a:ext cx="698500" cy="1905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35 bps</a:t>
            </a:r>
          </a:p>
        </xdr:txBody>
      </xdr:sp>
      <xdr:sp macro="" textlink="">
        <xdr:nvSpPr>
          <xdr:cNvPr id="113" name="lqg_3_2">
            <a:extLst>
              <a:ext uri="{FF2B5EF4-FFF2-40B4-BE49-F238E27FC236}">
                <a16:creationId xmlns:a16="http://schemas.microsoft.com/office/drawing/2014/main" id="{F3A8E500-CDFF-DFC5-AA80-C222F03D7CF5}"/>
              </a:ext>
            </a:extLst>
          </xdr:cNvPr>
          <xdr:cNvSpPr txBox="1"/>
        </xdr:nvSpPr>
        <xdr:spPr>
          <a:xfrm>
            <a:off x="12598400" y="14004186"/>
            <a:ext cx="660400" cy="190500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+32.8%</a:t>
            </a:r>
          </a:p>
        </xdr:txBody>
      </xdr:sp>
      <xdr:sp macro="" textlink="">
        <xdr:nvSpPr>
          <xdr:cNvPr id="114" name="lqb_3_2">
            <a:extLst>
              <a:ext uri="{FF2B5EF4-FFF2-40B4-BE49-F238E27FC236}">
                <a16:creationId xmlns:a16="http://schemas.microsoft.com/office/drawing/2014/main" id="{D3E7E353-6A65-397A-1DCD-BA3C00BC926C}"/>
              </a:ext>
            </a:extLst>
          </xdr:cNvPr>
          <xdr:cNvSpPr txBox="1"/>
        </xdr:nvSpPr>
        <xdr:spPr>
          <a:xfrm>
            <a:off x="13728700" y="14004186"/>
            <a:ext cx="698500" cy="1905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24 bps</a:t>
            </a:r>
          </a:p>
        </xdr:txBody>
      </xdr:sp>
      <xdr:sp macro="" textlink="">
        <xdr:nvSpPr>
          <xdr:cNvPr id="115" name="lqg_3_3">
            <a:extLst>
              <a:ext uri="{FF2B5EF4-FFF2-40B4-BE49-F238E27FC236}">
                <a16:creationId xmlns:a16="http://schemas.microsoft.com/office/drawing/2014/main" id="{6D975B96-A7FC-3419-0376-5EA0A7EAF8F5}"/>
              </a:ext>
            </a:extLst>
          </xdr:cNvPr>
          <xdr:cNvSpPr txBox="1"/>
        </xdr:nvSpPr>
        <xdr:spPr>
          <a:xfrm>
            <a:off x="12598400" y="14852761"/>
            <a:ext cx="660400" cy="190500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+33.3%</a:t>
            </a:r>
          </a:p>
        </xdr:txBody>
      </xdr:sp>
      <xdr:sp macro="" textlink="">
        <xdr:nvSpPr>
          <xdr:cNvPr id="116" name="lqb_3_3">
            <a:extLst>
              <a:ext uri="{FF2B5EF4-FFF2-40B4-BE49-F238E27FC236}">
                <a16:creationId xmlns:a16="http://schemas.microsoft.com/office/drawing/2014/main" id="{AE72AEDF-2AF5-98F3-9374-4B3FFC3E688B}"/>
              </a:ext>
            </a:extLst>
          </xdr:cNvPr>
          <xdr:cNvSpPr txBox="1"/>
        </xdr:nvSpPr>
        <xdr:spPr>
          <a:xfrm>
            <a:off x="13728700" y="14852761"/>
            <a:ext cx="698500" cy="1905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40 bps</a:t>
            </a:r>
          </a:p>
        </xdr:txBody>
      </xdr:sp>
      <xdr:sp macro="" textlink="">
        <xdr:nvSpPr>
          <xdr:cNvPr id="117" name="lqg_3_4">
            <a:extLst>
              <a:ext uri="{FF2B5EF4-FFF2-40B4-BE49-F238E27FC236}">
                <a16:creationId xmlns:a16="http://schemas.microsoft.com/office/drawing/2014/main" id="{F0A75A25-1D00-A4CD-3008-8F2220820206}"/>
              </a:ext>
            </a:extLst>
          </xdr:cNvPr>
          <xdr:cNvSpPr txBox="1"/>
        </xdr:nvSpPr>
        <xdr:spPr>
          <a:xfrm>
            <a:off x="12598400" y="16172808"/>
            <a:ext cx="660400" cy="190500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+35.8%</a:t>
            </a:r>
          </a:p>
        </xdr:txBody>
      </xdr:sp>
      <xdr:sp macro="" textlink="">
        <xdr:nvSpPr>
          <xdr:cNvPr id="118" name="lqb_3_4">
            <a:extLst>
              <a:ext uri="{FF2B5EF4-FFF2-40B4-BE49-F238E27FC236}">
                <a16:creationId xmlns:a16="http://schemas.microsoft.com/office/drawing/2014/main" id="{F3125C77-6C28-2525-98A6-4FFD5485721D}"/>
              </a:ext>
            </a:extLst>
          </xdr:cNvPr>
          <xdr:cNvSpPr txBox="1"/>
        </xdr:nvSpPr>
        <xdr:spPr>
          <a:xfrm>
            <a:off x="13728700" y="16172808"/>
            <a:ext cx="698500" cy="1905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27 bps</a:t>
            </a:r>
          </a:p>
        </xdr:txBody>
      </xdr:sp>
      <xdr:sp macro="" textlink="">
        <xdr:nvSpPr>
          <xdr:cNvPr id="119" name="lqh_3">
            <a:extLst>
              <a:ext uri="{FF2B5EF4-FFF2-40B4-BE49-F238E27FC236}">
                <a16:creationId xmlns:a16="http://schemas.microsoft.com/office/drawing/2014/main" id="{316CE593-560F-A918-B3C1-BD5978280D6C}"/>
              </a:ext>
            </a:extLst>
          </xdr:cNvPr>
          <xdr:cNvSpPr txBox="1"/>
        </xdr:nvSpPr>
        <xdr:spPr>
          <a:xfrm>
            <a:off x="12560300" y="16967200"/>
            <a:ext cx="1905000" cy="3302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t">
            <a:spAutoFit/>
          </a:bodyPr>
          <a:lstStyle/>
          <a:p>
            <a:pPr algn="ctr"/>
            <a:r>
              <a:rPr kumimoji="0" lang="en-US" sz="1500" b="1" i="0" u="none" strike="noStrike" kern="0" cap="none" spc="0" normalizeH="0" baseline="0" noProof="0">
                <a:ln>
                  <a:noFill/>
                </a:ln>
                <a:solidFill>
                  <a:srgbClr val="0284C7"/>
                </a:solidFill>
                <a:effectLst/>
                <a:uLnTx/>
                <a:uFillTx/>
                <a:latin typeface="Aptos Narrow" panose="02110004020202020204"/>
              </a:rPr>
              <a:t>Region</a:t>
            </a:r>
          </a:p>
        </xdr:txBody>
      </xdr:sp>
      <xdr:sp macro="" textlink="">
        <xdr:nvSpPr>
          <xdr:cNvPr id="120" name="lqg_4_1">
            <a:extLst>
              <a:ext uri="{FF2B5EF4-FFF2-40B4-BE49-F238E27FC236}">
                <a16:creationId xmlns:a16="http://schemas.microsoft.com/office/drawing/2014/main" id="{B5A4D099-F7B1-98CE-0658-9086CD7DDEE7}"/>
              </a:ext>
            </a:extLst>
          </xdr:cNvPr>
          <xdr:cNvSpPr txBox="1"/>
        </xdr:nvSpPr>
        <xdr:spPr>
          <a:xfrm>
            <a:off x="14503400" y="9268809"/>
            <a:ext cx="660400" cy="190500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-2.8%</a:t>
            </a:r>
          </a:p>
        </xdr:txBody>
      </xdr:sp>
      <xdr:sp macro="" textlink="">
        <xdr:nvSpPr>
          <xdr:cNvPr id="121" name="lqb_4_1">
            <a:extLst>
              <a:ext uri="{FF2B5EF4-FFF2-40B4-BE49-F238E27FC236}">
                <a16:creationId xmlns:a16="http://schemas.microsoft.com/office/drawing/2014/main" id="{E06D4DB0-61A1-B32E-3092-BC41C371BEE0}"/>
              </a:ext>
            </a:extLst>
          </xdr:cNvPr>
          <xdr:cNvSpPr txBox="1"/>
        </xdr:nvSpPr>
        <xdr:spPr>
          <a:xfrm>
            <a:off x="15633700" y="9268809"/>
            <a:ext cx="698500" cy="1905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-49 bps</a:t>
            </a:r>
          </a:p>
        </xdr:txBody>
      </xdr:sp>
      <xdr:sp macro="" textlink="">
        <xdr:nvSpPr>
          <xdr:cNvPr id="122" name="lqg_4_2">
            <a:extLst>
              <a:ext uri="{FF2B5EF4-FFF2-40B4-BE49-F238E27FC236}">
                <a16:creationId xmlns:a16="http://schemas.microsoft.com/office/drawing/2014/main" id="{8BCBC0EA-6658-98C5-CEC3-27FEC5C1AED3}"/>
              </a:ext>
            </a:extLst>
          </xdr:cNvPr>
          <xdr:cNvSpPr txBox="1"/>
        </xdr:nvSpPr>
        <xdr:spPr>
          <a:xfrm>
            <a:off x="14503400" y="9610587"/>
            <a:ext cx="660400" cy="190500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+39.4%</a:t>
            </a:r>
          </a:p>
        </xdr:txBody>
      </xdr:sp>
      <xdr:sp macro="" textlink="">
        <xdr:nvSpPr>
          <xdr:cNvPr id="123" name="lqb_4_2">
            <a:extLst>
              <a:ext uri="{FF2B5EF4-FFF2-40B4-BE49-F238E27FC236}">
                <a16:creationId xmlns:a16="http://schemas.microsoft.com/office/drawing/2014/main" id="{2A170595-FA3F-A86F-B821-A74D3BBFD239}"/>
              </a:ext>
            </a:extLst>
          </xdr:cNvPr>
          <xdr:cNvSpPr txBox="1"/>
        </xdr:nvSpPr>
        <xdr:spPr>
          <a:xfrm>
            <a:off x="15633700" y="9610587"/>
            <a:ext cx="698500" cy="1905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189 bps</a:t>
            </a:r>
          </a:p>
        </xdr:txBody>
      </xdr:sp>
      <xdr:sp macro="" textlink="">
        <xdr:nvSpPr>
          <xdr:cNvPr id="124" name="lqg_4_3">
            <a:extLst>
              <a:ext uri="{FF2B5EF4-FFF2-40B4-BE49-F238E27FC236}">
                <a16:creationId xmlns:a16="http://schemas.microsoft.com/office/drawing/2014/main" id="{5E5FD38F-B9CF-3319-E8F8-DFFEC78EDB59}"/>
              </a:ext>
            </a:extLst>
          </xdr:cNvPr>
          <xdr:cNvSpPr txBox="1"/>
        </xdr:nvSpPr>
        <xdr:spPr>
          <a:xfrm>
            <a:off x="14503400" y="13351194"/>
            <a:ext cx="660400" cy="190500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+38.0%</a:t>
            </a:r>
          </a:p>
        </xdr:txBody>
      </xdr:sp>
      <xdr:sp macro="" textlink="">
        <xdr:nvSpPr>
          <xdr:cNvPr id="125" name="lqb_4_3">
            <a:extLst>
              <a:ext uri="{FF2B5EF4-FFF2-40B4-BE49-F238E27FC236}">
                <a16:creationId xmlns:a16="http://schemas.microsoft.com/office/drawing/2014/main" id="{E909C4D8-1ADE-2E66-D4E2-19B3137EEA4E}"/>
              </a:ext>
            </a:extLst>
          </xdr:cNvPr>
          <xdr:cNvSpPr txBox="1"/>
        </xdr:nvSpPr>
        <xdr:spPr>
          <a:xfrm>
            <a:off x="15633700" y="13351194"/>
            <a:ext cx="698500" cy="1905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162 bps</a:t>
            </a:r>
          </a:p>
        </xdr:txBody>
      </xdr:sp>
      <xdr:sp macro="" textlink="">
        <xdr:nvSpPr>
          <xdr:cNvPr id="126" name="lqh_4">
            <a:extLst>
              <a:ext uri="{FF2B5EF4-FFF2-40B4-BE49-F238E27FC236}">
                <a16:creationId xmlns:a16="http://schemas.microsoft.com/office/drawing/2014/main" id="{9E824A41-89A0-2CFA-6DD8-B2C0E5F6FC0F}"/>
              </a:ext>
            </a:extLst>
          </xdr:cNvPr>
          <xdr:cNvSpPr txBox="1"/>
        </xdr:nvSpPr>
        <xdr:spPr>
          <a:xfrm>
            <a:off x="14465300" y="16967200"/>
            <a:ext cx="1905000" cy="3302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t">
            <a:spAutoFit/>
          </a:bodyPr>
          <a:lstStyle/>
          <a:p>
            <a:pPr algn="ctr"/>
            <a:r>
              <a:rPr kumimoji="0" lang="en-US" sz="1500" b="1" i="0" u="none" strike="noStrike" kern="0" cap="none" spc="0" normalizeH="0" baseline="0" noProof="0">
                <a:ln>
                  <a:noFill/>
                </a:ln>
                <a:solidFill>
                  <a:srgbClr val="0284C7"/>
                </a:solidFill>
                <a:effectLst/>
                <a:uLnTx/>
                <a:uFillTx/>
                <a:latin typeface="Aptos Narrow" panose="02110004020202020204"/>
              </a:rPr>
              <a:t>Packsize</a:t>
            </a:r>
          </a:p>
        </xdr:txBody>
      </xdr:sp>
      <xdr:sp macro="" textlink="">
        <xdr:nvSpPr>
          <xdr:cNvPr id="127" name="lq_title">
            <a:extLst>
              <a:ext uri="{FF2B5EF4-FFF2-40B4-BE49-F238E27FC236}">
                <a16:creationId xmlns:a16="http://schemas.microsoft.com/office/drawing/2014/main" id="{1BFC9A5F-866B-1F63-C316-14B8792250C0}"/>
              </a:ext>
            </a:extLst>
          </xdr:cNvPr>
          <xdr:cNvSpPr txBox="1"/>
        </xdr:nvSpPr>
        <xdr:spPr>
          <a:xfrm>
            <a:off x="6845300" y="8686800"/>
            <a:ext cx="9525000" cy="2540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t">
            <a:spAutoFit/>
          </a:bodyPr>
          <a:lstStyle/>
          <a:p>
            <a:pPr algn="ctr"/>
            <a:r>
              <a:rPr kumimoji="0" lang="en-US" sz="13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LIQUID — Columnar Marimekko Decomposition</a:t>
            </a:r>
          </a:p>
        </xdr:txBody>
      </xdr:sp>
    </xdr:grpSp>
    <xdr:clientData/>
  </xdr:twoCellAnchor>
  <xdr:twoCellAnchor>
    <xdr:from>
      <xdr:col>7</xdr:col>
      <xdr:colOff>522514</xdr:colOff>
      <xdr:row>96</xdr:row>
      <xdr:rowOff>36286</xdr:rowOff>
    </xdr:from>
    <xdr:to>
      <xdr:col>23</xdr:col>
      <xdr:colOff>322943</xdr:colOff>
      <xdr:row>143</xdr:row>
      <xdr:rowOff>119743</xdr:rowOff>
    </xdr:to>
    <xdr:grpSp>
      <xdr:nvGrpSpPr>
        <xdr:cNvPr id="180" name="FAB_ENH_Decomposition">
          <a:extLst>
            <a:ext uri="{FF2B5EF4-FFF2-40B4-BE49-F238E27FC236}">
              <a16:creationId xmlns:a16="http://schemas.microsoft.com/office/drawing/2014/main" id="{EB3FD655-E27A-7FDE-72B5-E4D1F6CEA8A3}"/>
            </a:ext>
          </a:extLst>
        </xdr:cNvPr>
        <xdr:cNvGrpSpPr/>
      </xdr:nvGrpSpPr>
      <xdr:grpSpPr>
        <a:xfrm>
          <a:off x="6845300" y="17526000"/>
          <a:ext cx="9525000" cy="8610600"/>
          <a:chOff x="6845300" y="17526000"/>
          <a:chExt cx="9525000" cy="8610600"/>
        </a:xfrm>
      </xdr:grpSpPr>
      <xdr:sp macro="" textlink="">
        <xdr:nvSpPr>
          <xdr:cNvPr id="129" name="fb_0_0">
            <a:extLst>
              <a:ext uri="{FF2B5EF4-FFF2-40B4-BE49-F238E27FC236}">
                <a16:creationId xmlns:a16="http://schemas.microsoft.com/office/drawing/2014/main" id="{76A233C7-1F9A-4392-AF92-64F587788BB0}"/>
              </a:ext>
            </a:extLst>
          </xdr:cNvPr>
          <xdr:cNvSpPr/>
        </xdr:nvSpPr>
        <xdr:spPr>
          <a:xfrm>
            <a:off x="6845300" y="17805400"/>
            <a:ext cx="1905000" cy="7873145"/>
          </a:xfrm>
          <a:prstGeom prst="rect">
            <a:avLst/>
          </a:prstGeom>
          <a:solidFill>
            <a:srgbClr val="1B8129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4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14.3%
FAB ENH</a:t>
            </a:r>
          </a:p>
        </xdr:txBody>
      </xdr:sp>
      <xdr:sp macro="" textlink="">
        <xdr:nvSpPr>
          <xdr:cNvPr id="130" name="fb_1_0">
            <a:extLst>
              <a:ext uri="{FF2B5EF4-FFF2-40B4-BE49-F238E27FC236}">
                <a16:creationId xmlns:a16="http://schemas.microsoft.com/office/drawing/2014/main" id="{CD2129A5-2325-44C7-A288-AD3D50FADBA7}"/>
              </a:ext>
            </a:extLst>
          </xdr:cNvPr>
          <xdr:cNvSpPr/>
        </xdr:nvSpPr>
        <xdr:spPr>
          <a:xfrm>
            <a:off x="8750300" y="17805400"/>
            <a:ext cx="1905000" cy="2740058"/>
          </a:xfrm>
          <a:prstGeom prst="rect">
            <a:avLst/>
          </a:prstGeom>
          <a:solidFill>
            <a:srgbClr val="1B8129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4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5.0%
SH CHAIN</a:t>
            </a:r>
          </a:p>
        </xdr:txBody>
      </xdr:sp>
      <xdr:sp macro="" textlink="">
        <xdr:nvSpPr>
          <xdr:cNvPr id="131" name="fb_1_2">
            <a:extLst>
              <a:ext uri="{FF2B5EF4-FFF2-40B4-BE49-F238E27FC236}">
                <a16:creationId xmlns:a16="http://schemas.microsoft.com/office/drawing/2014/main" id="{616EBC09-A4F3-4646-A3DB-90FC17DAC2CC}"/>
              </a:ext>
            </a:extLst>
          </xdr:cNvPr>
          <xdr:cNvSpPr/>
        </xdr:nvSpPr>
        <xdr:spPr>
          <a:xfrm>
            <a:off x="8750300" y="20545458"/>
            <a:ext cx="1905000" cy="1363022"/>
          </a:xfrm>
          <a:prstGeom prst="rect">
            <a:avLst/>
          </a:prstGeom>
          <a:solidFill>
            <a:srgbClr val="D81E3A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4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2.5%
OT</a:t>
            </a:r>
          </a:p>
        </xdr:txBody>
      </xdr:sp>
      <xdr:sp macro="" textlink="">
        <xdr:nvSpPr>
          <xdr:cNvPr id="132" name="fb_1_3">
            <a:extLst>
              <a:ext uri="{FF2B5EF4-FFF2-40B4-BE49-F238E27FC236}">
                <a16:creationId xmlns:a16="http://schemas.microsoft.com/office/drawing/2014/main" id="{9733BAF0-3DC8-4FCE-A334-19BEDF50A0A3}"/>
              </a:ext>
            </a:extLst>
          </xdr:cNvPr>
          <xdr:cNvSpPr/>
        </xdr:nvSpPr>
        <xdr:spPr>
          <a:xfrm>
            <a:off x="8750300" y="21908480"/>
            <a:ext cx="1905000" cy="1568922"/>
          </a:xfrm>
          <a:prstGeom prst="rect">
            <a:avLst/>
          </a:prstGeom>
          <a:solidFill>
            <a:srgbClr val="1B8129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4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2.9%
LMT</a:t>
            </a:r>
          </a:p>
        </xdr:txBody>
      </xdr:sp>
      <xdr:sp macro="" textlink="">
        <xdr:nvSpPr>
          <xdr:cNvPr id="133" name="fb_1_4">
            <a:extLst>
              <a:ext uri="{FF2B5EF4-FFF2-40B4-BE49-F238E27FC236}">
                <a16:creationId xmlns:a16="http://schemas.microsoft.com/office/drawing/2014/main" id="{13394A30-A1A9-48D5-A8A8-217883962FD3}"/>
              </a:ext>
            </a:extLst>
          </xdr:cNvPr>
          <xdr:cNvSpPr/>
        </xdr:nvSpPr>
        <xdr:spPr>
          <a:xfrm>
            <a:off x="8750300" y="23477403"/>
            <a:ext cx="1905000" cy="2201996"/>
          </a:xfrm>
          <a:prstGeom prst="rect">
            <a:avLst/>
          </a:prstGeom>
          <a:solidFill>
            <a:srgbClr val="D81E3A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4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4.0%
CVS</a:t>
            </a:r>
          </a:p>
        </xdr:txBody>
      </xdr:sp>
      <xdr:sp macro="" textlink="">
        <xdr:nvSpPr>
          <xdr:cNvPr id="134" name="fb_2_1">
            <a:extLst>
              <a:ext uri="{FF2B5EF4-FFF2-40B4-BE49-F238E27FC236}">
                <a16:creationId xmlns:a16="http://schemas.microsoft.com/office/drawing/2014/main" id="{3CF0F779-DD92-40D9-A147-F8D3DF8D6A9D}"/>
              </a:ext>
            </a:extLst>
          </xdr:cNvPr>
          <xdr:cNvSpPr/>
        </xdr:nvSpPr>
        <xdr:spPr>
          <a:xfrm>
            <a:off x="10655300" y="17805400"/>
            <a:ext cx="1905000" cy="6771140"/>
          </a:xfrm>
          <a:prstGeom prst="rect">
            <a:avLst/>
          </a:prstGeom>
          <a:solidFill>
            <a:srgbClr val="1B8129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4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12.3%
TIER2</a:t>
            </a:r>
          </a:p>
        </xdr:txBody>
      </xdr:sp>
      <xdr:sp macro="" textlink="">
        <xdr:nvSpPr>
          <xdr:cNvPr id="135" name="fb_2_2">
            <a:extLst>
              <a:ext uri="{FF2B5EF4-FFF2-40B4-BE49-F238E27FC236}">
                <a16:creationId xmlns:a16="http://schemas.microsoft.com/office/drawing/2014/main" id="{811922FA-DAF6-4A99-B693-D211638503F5}"/>
              </a:ext>
            </a:extLst>
          </xdr:cNvPr>
          <xdr:cNvSpPr/>
        </xdr:nvSpPr>
        <xdr:spPr>
          <a:xfrm>
            <a:off x="10655300" y="24576540"/>
            <a:ext cx="1905000" cy="1100998"/>
          </a:xfrm>
          <a:prstGeom prst="rect">
            <a:avLst/>
          </a:prstGeom>
          <a:solidFill>
            <a:srgbClr val="D81E3A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4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2.0%
TIER3</a:t>
            </a:r>
          </a:p>
        </xdr:txBody>
      </xdr:sp>
      <xdr:sp macro="" textlink="">
        <xdr:nvSpPr>
          <xdr:cNvPr id="136" name="fb_3_0">
            <a:extLst>
              <a:ext uri="{FF2B5EF4-FFF2-40B4-BE49-F238E27FC236}">
                <a16:creationId xmlns:a16="http://schemas.microsoft.com/office/drawing/2014/main" id="{83A4C6E3-4710-47EE-8C21-52DE91EC2179}"/>
              </a:ext>
            </a:extLst>
          </xdr:cNvPr>
          <xdr:cNvSpPr/>
        </xdr:nvSpPr>
        <xdr:spPr>
          <a:xfrm>
            <a:off x="12560300" y="17805400"/>
            <a:ext cx="1905000" cy="2568686"/>
          </a:xfrm>
          <a:prstGeom prst="rect">
            <a:avLst/>
          </a:prstGeom>
          <a:solidFill>
            <a:srgbClr val="1B8129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4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4.7%
GBKK</a:t>
            </a:r>
          </a:p>
        </xdr:txBody>
      </xdr:sp>
      <xdr:sp macro="" textlink="">
        <xdr:nvSpPr>
          <xdr:cNvPr id="137" name="fb_3_1">
            <a:extLst>
              <a:ext uri="{FF2B5EF4-FFF2-40B4-BE49-F238E27FC236}">
                <a16:creationId xmlns:a16="http://schemas.microsoft.com/office/drawing/2014/main" id="{AA7A3CE5-D55C-416C-8B0A-FDF3718E1F7B}"/>
              </a:ext>
            </a:extLst>
          </xdr:cNvPr>
          <xdr:cNvSpPr/>
        </xdr:nvSpPr>
        <xdr:spPr>
          <a:xfrm>
            <a:off x="12560300" y="20374086"/>
            <a:ext cx="1905000" cy="2323503"/>
          </a:xfrm>
          <a:prstGeom prst="rect">
            <a:avLst/>
          </a:prstGeom>
          <a:solidFill>
            <a:srgbClr val="1B8129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4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4.2%
CENTRAL</a:t>
            </a:r>
          </a:p>
        </xdr:txBody>
      </xdr:sp>
      <xdr:sp macro="" textlink="">
        <xdr:nvSpPr>
          <xdr:cNvPr id="138" name="fb_3_2">
            <a:extLst>
              <a:ext uri="{FF2B5EF4-FFF2-40B4-BE49-F238E27FC236}">
                <a16:creationId xmlns:a16="http://schemas.microsoft.com/office/drawing/2014/main" id="{F3693259-8E1E-48BF-B8E0-CFBE2BDF1035}"/>
              </a:ext>
            </a:extLst>
          </xdr:cNvPr>
          <xdr:cNvSpPr/>
        </xdr:nvSpPr>
        <xdr:spPr>
          <a:xfrm>
            <a:off x="12560300" y="22697590"/>
            <a:ext cx="1905000" cy="869325"/>
          </a:xfrm>
          <a:prstGeom prst="rect">
            <a:avLst/>
          </a:prstGeom>
          <a:solidFill>
            <a:srgbClr val="D81E3A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4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1.6%
NORTH</a:t>
            </a:r>
          </a:p>
        </xdr:txBody>
      </xdr:sp>
      <xdr:sp macro="" textlink="">
        <xdr:nvSpPr>
          <xdr:cNvPr id="139" name="fb_3_3">
            <a:extLst>
              <a:ext uri="{FF2B5EF4-FFF2-40B4-BE49-F238E27FC236}">
                <a16:creationId xmlns:a16="http://schemas.microsoft.com/office/drawing/2014/main" id="{070E47AB-01F7-4CE3-B9DB-322D54ECF872}"/>
              </a:ext>
            </a:extLst>
          </xdr:cNvPr>
          <xdr:cNvSpPr/>
        </xdr:nvSpPr>
        <xdr:spPr>
          <a:xfrm>
            <a:off x="12560300" y="23566915"/>
            <a:ext cx="1905000" cy="1430939"/>
          </a:xfrm>
          <a:prstGeom prst="rect">
            <a:avLst/>
          </a:prstGeom>
          <a:solidFill>
            <a:srgbClr val="1B8129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4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2.6%
NORTHEAST</a:t>
            </a:r>
          </a:p>
        </xdr:txBody>
      </xdr:sp>
      <xdr:sp macro="" textlink="">
        <xdr:nvSpPr>
          <xdr:cNvPr id="140" name="fb_3_4">
            <a:extLst>
              <a:ext uri="{FF2B5EF4-FFF2-40B4-BE49-F238E27FC236}">
                <a16:creationId xmlns:a16="http://schemas.microsoft.com/office/drawing/2014/main" id="{B77AEAE6-E359-4FA0-8BEA-9428BBF1DDCE}"/>
              </a:ext>
            </a:extLst>
          </xdr:cNvPr>
          <xdr:cNvSpPr/>
        </xdr:nvSpPr>
        <xdr:spPr>
          <a:xfrm>
            <a:off x="12560300" y="24997855"/>
            <a:ext cx="1905000" cy="680690"/>
          </a:xfrm>
          <a:prstGeom prst="rect">
            <a:avLst/>
          </a:prstGeom>
          <a:solidFill>
            <a:srgbClr val="1B8129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0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1.2%
SOUTH</a:t>
            </a:r>
          </a:p>
        </xdr:txBody>
      </xdr:sp>
      <xdr:sp macro="" textlink="">
        <xdr:nvSpPr>
          <xdr:cNvPr id="141" name="fb_4_0">
            <a:extLst>
              <a:ext uri="{FF2B5EF4-FFF2-40B4-BE49-F238E27FC236}">
                <a16:creationId xmlns:a16="http://schemas.microsoft.com/office/drawing/2014/main" id="{60FA3B4A-9AF1-470C-9E13-A70434E71FB0}"/>
              </a:ext>
            </a:extLst>
          </xdr:cNvPr>
          <xdr:cNvSpPr/>
        </xdr:nvSpPr>
        <xdr:spPr>
          <a:xfrm>
            <a:off x="14465300" y="17805400"/>
            <a:ext cx="1905000" cy="863236"/>
          </a:xfrm>
          <a:prstGeom prst="rect">
            <a:avLst/>
          </a:prstGeom>
          <a:solidFill>
            <a:srgbClr val="D81E3A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4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1.6%
S</a:t>
            </a:r>
          </a:p>
        </xdr:txBody>
      </xdr:sp>
      <xdr:sp macro="" textlink="">
        <xdr:nvSpPr>
          <xdr:cNvPr id="142" name="fb_4_2">
            <a:extLst>
              <a:ext uri="{FF2B5EF4-FFF2-40B4-BE49-F238E27FC236}">
                <a16:creationId xmlns:a16="http://schemas.microsoft.com/office/drawing/2014/main" id="{C555BF6A-C707-45F6-AF8F-443E050172EA}"/>
              </a:ext>
            </a:extLst>
          </xdr:cNvPr>
          <xdr:cNvSpPr/>
        </xdr:nvSpPr>
        <xdr:spPr>
          <a:xfrm>
            <a:off x="14465300" y="18668636"/>
            <a:ext cx="1905000" cy="4403993"/>
          </a:xfrm>
          <a:prstGeom prst="rect">
            <a:avLst/>
          </a:prstGeom>
          <a:solidFill>
            <a:srgbClr val="1B8129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4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8.0%
L</a:t>
            </a:r>
          </a:p>
        </xdr:txBody>
      </xdr:sp>
      <xdr:sp macro="" textlink="">
        <xdr:nvSpPr>
          <xdr:cNvPr id="143" name="fb_4_3">
            <a:extLst>
              <a:ext uri="{FF2B5EF4-FFF2-40B4-BE49-F238E27FC236}">
                <a16:creationId xmlns:a16="http://schemas.microsoft.com/office/drawing/2014/main" id="{BF7C76BB-DAC7-44CB-B549-700A6A3CE0E6}"/>
              </a:ext>
            </a:extLst>
          </xdr:cNvPr>
          <xdr:cNvSpPr/>
        </xdr:nvSpPr>
        <xdr:spPr>
          <a:xfrm>
            <a:off x="14465300" y="23072630"/>
            <a:ext cx="1905000" cy="2587346"/>
          </a:xfrm>
          <a:prstGeom prst="rect">
            <a:avLst/>
          </a:prstGeom>
          <a:solidFill>
            <a:srgbClr val="1B8129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4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4.7%
XL</a:t>
            </a:r>
          </a:p>
        </xdr:txBody>
      </xdr:sp>
      <xdr:sp macro="" textlink="">
        <xdr:nvSpPr>
          <xdr:cNvPr id="144" name="fbg_0_0">
            <a:extLst>
              <a:ext uri="{FF2B5EF4-FFF2-40B4-BE49-F238E27FC236}">
                <a16:creationId xmlns:a16="http://schemas.microsoft.com/office/drawing/2014/main" id="{F0E0593E-CA23-F800-C328-A9AAEDA0AFE0}"/>
              </a:ext>
            </a:extLst>
          </xdr:cNvPr>
          <xdr:cNvSpPr txBox="1"/>
        </xdr:nvSpPr>
        <xdr:spPr>
          <a:xfrm>
            <a:off x="6883400" y="17843500"/>
            <a:ext cx="660400" cy="190500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+12.8%</a:t>
            </a:r>
          </a:p>
        </xdr:txBody>
      </xdr:sp>
      <xdr:sp macro="" textlink="">
        <xdr:nvSpPr>
          <xdr:cNvPr id="145" name="fbb_0_0">
            <a:extLst>
              <a:ext uri="{FF2B5EF4-FFF2-40B4-BE49-F238E27FC236}">
                <a16:creationId xmlns:a16="http://schemas.microsoft.com/office/drawing/2014/main" id="{C10EA970-CBB5-CF11-ECBF-7D41EB079CD1}"/>
              </a:ext>
            </a:extLst>
          </xdr:cNvPr>
          <xdr:cNvSpPr txBox="1"/>
        </xdr:nvSpPr>
        <xdr:spPr>
          <a:xfrm>
            <a:off x="8013700" y="17843500"/>
            <a:ext cx="698500" cy="1905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47 bps</a:t>
            </a:r>
          </a:p>
        </xdr:txBody>
      </xdr:sp>
      <xdr:sp macro="" textlink="">
        <xdr:nvSpPr>
          <xdr:cNvPr id="146" name="fbh_0">
            <a:extLst>
              <a:ext uri="{FF2B5EF4-FFF2-40B4-BE49-F238E27FC236}">
                <a16:creationId xmlns:a16="http://schemas.microsoft.com/office/drawing/2014/main" id="{64460A7E-6717-8BD7-41CA-0BA26BC13763}"/>
              </a:ext>
            </a:extLst>
          </xdr:cNvPr>
          <xdr:cNvSpPr txBox="1"/>
        </xdr:nvSpPr>
        <xdr:spPr>
          <a:xfrm>
            <a:off x="6845300" y="25806400"/>
            <a:ext cx="1905000" cy="3302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t">
            <a:spAutoFit/>
          </a:bodyPr>
          <a:lstStyle/>
          <a:p>
            <a:pPr algn="ctr"/>
            <a:r>
              <a:rPr kumimoji="0" lang="en-US" sz="1500" b="1" i="0" u="none" strike="noStrike" kern="0" cap="none" spc="0" normalizeH="0" baseline="0" noProof="0">
                <a:ln>
                  <a:noFill/>
                </a:ln>
                <a:solidFill>
                  <a:srgbClr val="0284C7"/>
                </a:solidFill>
                <a:effectLst/>
                <a:uLnTx/>
                <a:uFillTx/>
                <a:latin typeface="Aptos Narrow" panose="02110004020202020204"/>
              </a:rPr>
              <a:t>Total TH</a:t>
            </a:r>
          </a:p>
        </xdr:txBody>
      </xdr:sp>
      <xdr:sp macro="" textlink="">
        <xdr:nvSpPr>
          <xdr:cNvPr id="147" name="fbg_1_0">
            <a:extLst>
              <a:ext uri="{FF2B5EF4-FFF2-40B4-BE49-F238E27FC236}">
                <a16:creationId xmlns:a16="http://schemas.microsoft.com/office/drawing/2014/main" id="{DDC534A2-9443-2EF8-06BA-B3646CD6032F}"/>
              </a:ext>
            </a:extLst>
          </xdr:cNvPr>
          <xdr:cNvSpPr txBox="1"/>
        </xdr:nvSpPr>
        <xdr:spPr>
          <a:xfrm>
            <a:off x="8788400" y="17843500"/>
            <a:ext cx="660400" cy="190500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+29.9%</a:t>
            </a:r>
          </a:p>
        </xdr:txBody>
      </xdr:sp>
      <xdr:sp macro="" textlink="">
        <xdr:nvSpPr>
          <xdr:cNvPr id="148" name="fbb_1_0">
            <a:extLst>
              <a:ext uri="{FF2B5EF4-FFF2-40B4-BE49-F238E27FC236}">
                <a16:creationId xmlns:a16="http://schemas.microsoft.com/office/drawing/2014/main" id="{2DCDAE08-0D25-23B3-AF7B-628F427BD33D}"/>
              </a:ext>
            </a:extLst>
          </xdr:cNvPr>
          <xdr:cNvSpPr txBox="1"/>
        </xdr:nvSpPr>
        <xdr:spPr>
          <a:xfrm>
            <a:off x="9918700" y="17843500"/>
            <a:ext cx="698500" cy="1905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79 bps</a:t>
            </a:r>
          </a:p>
        </xdr:txBody>
      </xdr:sp>
      <xdr:sp macro="" textlink="">
        <xdr:nvSpPr>
          <xdr:cNvPr id="149" name="fbg_1_2">
            <a:extLst>
              <a:ext uri="{FF2B5EF4-FFF2-40B4-BE49-F238E27FC236}">
                <a16:creationId xmlns:a16="http://schemas.microsoft.com/office/drawing/2014/main" id="{3CBDCAE7-FEEC-E11E-5AC4-A3BBC9545E31}"/>
              </a:ext>
            </a:extLst>
          </xdr:cNvPr>
          <xdr:cNvSpPr txBox="1"/>
        </xdr:nvSpPr>
        <xdr:spPr>
          <a:xfrm>
            <a:off x="8788400" y="20583558"/>
            <a:ext cx="660400" cy="190500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+1.8%</a:t>
            </a:r>
          </a:p>
        </xdr:txBody>
      </xdr:sp>
      <xdr:sp macro="" textlink="">
        <xdr:nvSpPr>
          <xdr:cNvPr id="150" name="fbb_1_2">
            <a:extLst>
              <a:ext uri="{FF2B5EF4-FFF2-40B4-BE49-F238E27FC236}">
                <a16:creationId xmlns:a16="http://schemas.microsoft.com/office/drawing/2014/main" id="{EB522DF3-E345-4BB2-6247-26857E7C38D2}"/>
              </a:ext>
            </a:extLst>
          </xdr:cNvPr>
          <xdr:cNvSpPr txBox="1"/>
        </xdr:nvSpPr>
        <xdr:spPr>
          <a:xfrm>
            <a:off x="9918700" y="20583558"/>
            <a:ext cx="698500" cy="1905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-18 bps</a:t>
            </a:r>
          </a:p>
        </xdr:txBody>
      </xdr:sp>
      <xdr:sp macro="" textlink="">
        <xdr:nvSpPr>
          <xdr:cNvPr id="151" name="fbg_1_3">
            <a:extLst>
              <a:ext uri="{FF2B5EF4-FFF2-40B4-BE49-F238E27FC236}">
                <a16:creationId xmlns:a16="http://schemas.microsoft.com/office/drawing/2014/main" id="{D6136DA7-60BE-4B37-40AC-86B6E31CB3B9}"/>
              </a:ext>
            </a:extLst>
          </xdr:cNvPr>
          <xdr:cNvSpPr txBox="1"/>
        </xdr:nvSpPr>
        <xdr:spPr>
          <a:xfrm>
            <a:off x="8788400" y="21946580"/>
            <a:ext cx="660400" cy="190500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+22.6%</a:t>
            </a:r>
          </a:p>
        </xdr:txBody>
      </xdr:sp>
      <xdr:sp macro="" textlink="">
        <xdr:nvSpPr>
          <xdr:cNvPr id="152" name="fbb_1_3">
            <a:extLst>
              <a:ext uri="{FF2B5EF4-FFF2-40B4-BE49-F238E27FC236}">
                <a16:creationId xmlns:a16="http://schemas.microsoft.com/office/drawing/2014/main" id="{67CCAFAA-0789-2B48-AABF-70F6F0888927}"/>
              </a:ext>
            </a:extLst>
          </xdr:cNvPr>
          <xdr:cNvSpPr txBox="1"/>
        </xdr:nvSpPr>
        <xdr:spPr>
          <a:xfrm>
            <a:off x="9918700" y="21946580"/>
            <a:ext cx="698500" cy="1905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32 bps</a:t>
            </a:r>
          </a:p>
        </xdr:txBody>
      </xdr:sp>
      <xdr:sp macro="" textlink="">
        <xdr:nvSpPr>
          <xdr:cNvPr id="153" name="fbg_1_4">
            <a:extLst>
              <a:ext uri="{FF2B5EF4-FFF2-40B4-BE49-F238E27FC236}">
                <a16:creationId xmlns:a16="http://schemas.microsoft.com/office/drawing/2014/main" id="{E7C3E6DF-D345-92DF-F286-8682CE0C8C14}"/>
              </a:ext>
            </a:extLst>
          </xdr:cNvPr>
          <xdr:cNvSpPr txBox="1"/>
        </xdr:nvSpPr>
        <xdr:spPr>
          <a:xfrm>
            <a:off x="8788400" y="23515503"/>
            <a:ext cx="660400" cy="190500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-4.3%</a:t>
            </a:r>
          </a:p>
        </xdr:txBody>
      </xdr:sp>
      <xdr:sp macro="" textlink="">
        <xdr:nvSpPr>
          <xdr:cNvPr id="154" name="fbb_1_4">
            <a:extLst>
              <a:ext uri="{FF2B5EF4-FFF2-40B4-BE49-F238E27FC236}">
                <a16:creationId xmlns:a16="http://schemas.microsoft.com/office/drawing/2014/main" id="{13102256-72BA-30E4-7045-C946C50D03E5}"/>
              </a:ext>
            </a:extLst>
          </xdr:cNvPr>
          <xdr:cNvSpPr txBox="1"/>
        </xdr:nvSpPr>
        <xdr:spPr>
          <a:xfrm>
            <a:off x="9918700" y="23515503"/>
            <a:ext cx="698500" cy="1905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-52 bps</a:t>
            </a:r>
          </a:p>
        </xdr:txBody>
      </xdr:sp>
      <xdr:sp macro="" textlink="">
        <xdr:nvSpPr>
          <xdr:cNvPr id="155" name="fbh_1">
            <a:extLst>
              <a:ext uri="{FF2B5EF4-FFF2-40B4-BE49-F238E27FC236}">
                <a16:creationId xmlns:a16="http://schemas.microsoft.com/office/drawing/2014/main" id="{1B50FFB0-67E9-8059-2B8F-FF3A613FC4A3}"/>
              </a:ext>
            </a:extLst>
          </xdr:cNvPr>
          <xdr:cNvSpPr txBox="1"/>
        </xdr:nvSpPr>
        <xdr:spPr>
          <a:xfrm>
            <a:off x="8750300" y="25806400"/>
            <a:ext cx="1905000" cy="3302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t">
            <a:spAutoFit/>
          </a:bodyPr>
          <a:lstStyle/>
          <a:p>
            <a:pPr algn="ctr"/>
            <a:r>
              <a:rPr kumimoji="0" lang="en-US" sz="1500" b="1" i="0" u="none" strike="noStrike" kern="0" cap="none" spc="0" normalizeH="0" baseline="0" noProof="0">
                <a:ln>
                  <a:noFill/>
                </a:ln>
                <a:solidFill>
                  <a:srgbClr val="0284C7"/>
                </a:solidFill>
                <a:effectLst/>
                <a:uLnTx/>
                <a:uFillTx/>
                <a:latin typeface="Aptos Narrow" panose="02110004020202020204"/>
              </a:rPr>
              <a:t>Channel</a:t>
            </a:r>
          </a:p>
        </xdr:txBody>
      </xdr:sp>
      <xdr:sp macro="" textlink="">
        <xdr:nvSpPr>
          <xdr:cNvPr id="156" name="fbg_2_1">
            <a:extLst>
              <a:ext uri="{FF2B5EF4-FFF2-40B4-BE49-F238E27FC236}">
                <a16:creationId xmlns:a16="http://schemas.microsoft.com/office/drawing/2014/main" id="{D956E2B5-87CB-9D09-4CD5-B06A4391CBB9}"/>
              </a:ext>
            </a:extLst>
          </xdr:cNvPr>
          <xdr:cNvSpPr txBox="1"/>
        </xdr:nvSpPr>
        <xdr:spPr>
          <a:xfrm>
            <a:off x="10693400" y="17843500"/>
            <a:ext cx="660400" cy="190500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+42.4%</a:t>
            </a:r>
          </a:p>
        </xdr:txBody>
      </xdr:sp>
      <xdr:sp macro="" textlink="">
        <xdr:nvSpPr>
          <xdr:cNvPr id="157" name="fbb_2_1">
            <a:extLst>
              <a:ext uri="{FF2B5EF4-FFF2-40B4-BE49-F238E27FC236}">
                <a16:creationId xmlns:a16="http://schemas.microsoft.com/office/drawing/2014/main" id="{1874279C-AFAA-0E3E-E38F-D674297E1D5C}"/>
              </a:ext>
            </a:extLst>
          </xdr:cNvPr>
          <xdr:cNvSpPr txBox="1"/>
        </xdr:nvSpPr>
        <xdr:spPr>
          <a:xfrm>
            <a:off x="11823700" y="17843500"/>
            <a:ext cx="698500" cy="1905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275 bps</a:t>
            </a:r>
          </a:p>
        </xdr:txBody>
      </xdr:sp>
      <xdr:sp macro="" textlink="">
        <xdr:nvSpPr>
          <xdr:cNvPr id="158" name="fbg_2_2">
            <a:extLst>
              <a:ext uri="{FF2B5EF4-FFF2-40B4-BE49-F238E27FC236}">
                <a16:creationId xmlns:a16="http://schemas.microsoft.com/office/drawing/2014/main" id="{F9731C84-EB33-CCC9-9CD7-AB2E9B3AFFD8}"/>
              </a:ext>
            </a:extLst>
          </xdr:cNvPr>
          <xdr:cNvSpPr txBox="1"/>
        </xdr:nvSpPr>
        <xdr:spPr>
          <a:xfrm>
            <a:off x="10693400" y="24614640"/>
            <a:ext cx="660400" cy="190500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-8.6%</a:t>
            </a:r>
          </a:p>
        </xdr:txBody>
      </xdr:sp>
      <xdr:sp macro="" textlink="">
        <xdr:nvSpPr>
          <xdr:cNvPr id="159" name="fbb_2_2">
            <a:extLst>
              <a:ext uri="{FF2B5EF4-FFF2-40B4-BE49-F238E27FC236}">
                <a16:creationId xmlns:a16="http://schemas.microsoft.com/office/drawing/2014/main" id="{0C463C37-B2F3-65CC-CC0C-78B1B29C274B}"/>
              </a:ext>
            </a:extLst>
          </xdr:cNvPr>
          <xdr:cNvSpPr txBox="1"/>
        </xdr:nvSpPr>
        <xdr:spPr>
          <a:xfrm>
            <a:off x="11823700" y="24614640"/>
            <a:ext cx="698500" cy="1905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-41 bps</a:t>
            </a:r>
          </a:p>
        </xdr:txBody>
      </xdr:sp>
      <xdr:sp macro="" textlink="">
        <xdr:nvSpPr>
          <xdr:cNvPr id="160" name="fbh_2">
            <a:extLst>
              <a:ext uri="{FF2B5EF4-FFF2-40B4-BE49-F238E27FC236}">
                <a16:creationId xmlns:a16="http://schemas.microsoft.com/office/drawing/2014/main" id="{AB27E75D-FB76-DEA1-216A-DF2842D1C578}"/>
              </a:ext>
            </a:extLst>
          </xdr:cNvPr>
          <xdr:cNvSpPr txBox="1"/>
        </xdr:nvSpPr>
        <xdr:spPr>
          <a:xfrm>
            <a:off x="10655300" y="25806400"/>
            <a:ext cx="1905000" cy="3302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t">
            <a:spAutoFit/>
          </a:bodyPr>
          <a:lstStyle/>
          <a:p>
            <a:pPr algn="ctr"/>
            <a:r>
              <a:rPr kumimoji="0" lang="en-US" sz="1500" b="1" i="0" u="none" strike="noStrike" kern="0" cap="none" spc="0" normalizeH="0" baseline="0" noProof="0">
                <a:ln>
                  <a:noFill/>
                </a:ln>
                <a:solidFill>
                  <a:srgbClr val="0284C7"/>
                </a:solidFill>
                <a:effectLst/>
                <a:uLnTx/>
                <a:uFillTx/>
                <a:latin typeface="Aptos Narrow" panose="02110004020202020204"/>
              </a:rPr>
              <a:t>Price</a:t>
            </a:r>
          </a:p>
        </xdr:txBody>
      </xdr:sp>
      <xdr:sp macro="" textlink="">
        <xdr:nvSpPr>
          <xdr:cNvPr id="161" name="fbg_3_0">
            <a:extLst>
              <a:ext uri="{FF2B5EF4-FFF2-40B4-BE49-F238E27FC236}">
                <a16:creationId xmlns:a16="http://schemas.microsoft.com/office/drawing/2014/main" id="{5316FAB4-BBDB-C86B-2BC7-7F384F966901}"/>
              </a:ext>
            </a:extLst>
          </xdr:cNvPr>
          <xdr:cNvSpPr txBox="1"/>
        </xdr:nvSpPr>
        <xdr:spPr>
          <a:xfrm>
            <a:off x="12598400" y="17843500"/>
            <a:ext cx="660400" cy="190500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+12.5%</a:t>
            </a:r>
          </a:p>
        </xdr:txBody>
      </xdr:sp>
      <xdr:sp macro="" textlink="">
        <xdr:nvSpPr>
          <xdr:cNvPr id="162" name="fbb_3_0">
            <a:extLst>
              <a:ext uri="{FF2B5EF4-FFF2-40B4-BE49-F238E27FC236}">
                <a16:creationId xmlns:a16="http://schemas.microsoft.com/office/drawing/2014/main" id="{508F3A2A-7156-30F8-C095-84477F27CF24}"/>
              </a:ext>
            </a:extLst>
          </xdr:cNvPr>
          <xdr:cNvSpPr txBox="1"/>
        </xdr:nvSpPr>
        <xdr:spPr>
          <a:xfrm>
            <a:off x="13728700" y="17843500"/>
            <a:ext cx="698500" cy="1905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14 bps</a:t>
            </a:r>
          </a:p>
        </xdr:txBody>
      </xdr:sp>
      <xdr:sp macro="" textlink="">
        <xdr:nvSpPr>
          <xdr:cNvPr id="163" name="fbg_3_1">
            <a:extLst>
              <a:ext uri="{FF2B5EF4-FFF2-40B4-BE49-F238E27FC236}">
                <a16:creationId xmlns:a16="http://schemas.microsoft.com/office/drawing/2014/main" id="{4BF3DBB0-87EE-31BD-56E7-47A5648C66B1}"/>
              </a:ext>
            </a:extLst>
          </xdr:cNvPr>
          <xdr:cNvSpPr txBox="1"/>
        </xdr:nvSpPr>
        <xdr:spPr>
          <a:xfrm>
            <a:off x="12598400" y="20412186"/>
            <a:ext cx="660400" cy="190500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+17.9%</a:t>
            </a:r>
          </a:p>
        </xdr:txBody>
      </xdr:sp>
      <xdr:sp macro="" textlink="">
        <xdr:nvSpPr>
          <xdr:cNvPr id="164" name="fbb_3_1">
            <a:extLst>
              <a:ext uri="{FF2B5EF4-FFF2-40B4-BE49-F238E27FC236}">
                <a16:creationId xmlns:a16="http://schemas.microsoft.com/office/drawing/2014/main" id="{5DE8CE76-4A0F-7060-24C4-338EC9118158}"/>
              </a:ext>
            </a:extLst>
          </xdr:cNvPr>
          <xdr:cNvSpPr txBox="1"/>
        </xdr:nvSpPr>
        <xdr:spPr>
          <a:xfrm>
            <a:off x="13728700" y="20412186"/>
            <a:ext cx="698500" cy="1905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31 bps</a:t>
            </a:r>
          </a:p>
        </xdr:txBody>
      </xdr:sp>
      <xdr:sp macro="" textlink="">
        <xdr:nvSpPr>
          <xdr:cNvPr id="165" name="fbg_3_2">
            <a:extLst>
              <a:ext uri="{FF2B5EF4-FFF2-40B4-BE49-F238E27FC236}">
                <a16:creationId xmlns:a16="http://schemas.microsoft.com/office/drawing/2014/main" id="{553D51EF-1516-1F79-3E49-13F4864D4E7A}"/>
              </a:ext>
            </a:extLst>
          </xdr:cNvPr>
          <xdr:cNvSpPr txBox="1"/>
        </xdr:nvSpPr>
        <xdr:spPr>
          <a:xfrm>
            <a:off x="12598400" y="22735690"/>
            <a:ext cx="660400" cy="190500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+4.5%</a:t>
            </a:r>
          </a:p>
        </xdr:txBody>
      </xdr:sp>
      <xdr:sp macro="" textlink="">
        <xdr:nvSpPr>
          <xdr:cNvPr id="166" name="fbb_3_2">
            <a:extLst>
              <a:ext uri="{FF2B5EF4-FFF2-40B4-BE49-F238E27FC236}">
                <a16:creationId xmlns:a16="http://schemas.microsoft.com/office/drawing/2014/main" id="{80E728BB-ADDD-709A-10DD-4822DC19F809}"/>
              </a:ext>
            </a:extLst>
          </xdr:cNvPr>
          <xdr:cNvSpPr txBox="1"/>
        </xdr:nvSpPr>
        <xdr:spPr>
          <a:xfrm>
            <a:off x="13728700" y="22735690"/>
            <a:ext cx="698500" cy="1905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-7 bps</a:t>
            </a:r>
          </a:p>
        </xdr:txBody>
      </xdr:sp>
      <xdr:sp macro="" textlink="">
        <xdr:nvSpPr>
          <xdr:cNvPr id="167" name="fbg_3_3">
            <a:extLst>
              <a:ext uri="{FF2B5EF4-FFF2-40B4-BE49-F238E27FC236}">
                <a16:creationId xmlns:a16="http://schemas.microsoft.com/office/drawing/2014/main" id="{8D40F41E-48EE-B35C-7E9A-0520FBFE10C1}"/>
              </a:ext>
            </a:extLst>
          </xdr:cNvPr>
          <xdr:cNvSpPr txBox="1"/>
        </xdr:nvSpPr>
        <xdr:spPr>
          <a:xfrm>
            <a:off x="12598400" y="23605015"/>
            <a:ext cx="660400" cy="190500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+10.9%</a:t>
            </a:r>
          </a:p>
        </xdr:txBody>
      </xdr:sp>
      <xdr:sp macro="" textlink="">
        <xdr:nvSpPr>
          <xdr:cNvPr id="168" name="fbb_3_3">
            <a:extLst>
              <a:ext uri="{FF2B5EF4-FFF2-40B4-BE49-F238E27FC236}">
                <a16:creationId xmlns:a16="http://schemas.microsoft.com/office/drawing/2014/main" id="{ACF601BA-D9AD-9656-8846-B8DA1CB6FA30}"/>
              </a:ext>
            </a:extLst>
          </xdr:cNvPr>
          <xdr:cNvSpPr txBox="1"/>
        </xdr:nvSpPr>
        <xdr:spPr>
          <a:xfrm>
            <a:off x="13728700" y="23605015"/>
            <a:ext cx="698500" cy="1905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4 bps</a:t>
            </a:r>
          </a:p>
        </xdr:txBody>
      </xdr:sp>
      <xdr:sp macro="" textlink="">
        <xdr:nvSpPr>
          <xdr:cNvPr id="169" name="fbg_3_4">
            <a:extLst>
              <a:ext uri="{FF2B5EF4-FFF2-40B4-BE49-F238E27FC236}">
                <a16:creationId xmlns:a16="http://schemas.microsoft.com/office/drawing/2014/main" id="{8F8FFDC9-1D35-84D0-5D2B-83D50F2A90F1}"/>
              </a:ext>
            </a:extLst>
          </xdr:cNvPr>
          <xdr:cNvSpPr txBox="1"/>
        </xdr:nvSpPr>
        <xdr:spPr>
          <a:xfrm>
            <a:off x="12598400" y="25035955"/>
            <a:ext cx="660400" cy="190500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+12.9%</a:t>
            </a:r>
          </a:p>
        </xdr:txBody>
      </xdr:sp>
      <xdr:sp macro="" textlink="">
        <xdr:nvSpPr>
          <xdr:cNvPr id="170" name="fbb_3_4">
            <a:extLst>
              <a:ext uri="{FF2B5EF4-FFF2-40B4-BE49-F238E27FC236}">
                <a16:creationId xmlns:a16="http://schemas.microsoft.com/office/drawing/2014/main" id="{05F72087-7680-2AAE-4917-030DA1151F14}"/>
              </a:ext>
            </a:extLst>
          </xdr:cNvPr>
          <xdr:cNvSpPr txBox="1"/>
        </xdr:nvSpPr>
        <xdr:spPr>
          <a:xfrm>
            <a:off x="13728700" y="25035955"/>
            <a:ext cx="698500" cy="1905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4 bps</a:t>
            </a:r>
          </a:p>
        </xdr:txBody>
      </xdr:sp>
      <xdr:sp macro="" textlink="">
        <xdr:nvSpPr>
          <xdr:cNvPr id="171" name="fbh_3">
            <a:extLst>
              <a:ext uri="{FF2B5EF4-FFF2-40B4-BE49-F238E27FC236}">
                <a16:creationId xmlns:a16="http://schemas.microsoft.com/office/drawing/2014/main" id="{FD917450-958B-8120-2ABA-4B43888B63F4}"/>
              </a:ext>
            </a:extLst>
          </xdr:cNvPr>
          <xdr:cNvSpPr txBox="1"/>
        </xdr:nvSpPr>
        <xdr:spPr>
          <a:xfrm>
            <a:off x="12560300" y="25806400"/>
            <a:ext cx="1905000" cy="3302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t">
            <a:spAutoFit/>
          </a:bodyPr>
          <a:lstStyle/>
          <a:p>
            <a:pPr algn="ctr"/>
            <a:r>
              <a:rPr kumimoji="0" lang="en-US" sz="1500" b="1" i="0" u="none" strike="noStrike" kern="0" cap="none" spc="0" normalizeH="0" baseline="0" noProof="0">
                <a:ln>
                  <a:noFill/>
                </a:ln>
                <a:solidFill>
                  <a:srgbClr val="0284C7"/>
                </a:solidFill>
                <a:effectLst/>
                <a:uLnTx/>
                <a:uFillTx/>
                <a:latin typeface="Aptos Narrow" panose="02110004020202020204"/>
              </a:rPr>
              <a:t>Region</a:t>
            </a:r>
          </a:p>
        </xdr:txBody>
      </xdr:sp>
      <xdr:sp macro="" textlink="">
        <xdr:nvSpPr>
          <xdr:cNvPr id="172" name="fbg_4_0">
            <a:extLst>
              <a:ext uri="{FF2B5EF4-FFF2-40B4-BE49-F238E27FC236}">
                <a16:creationId xmlns:a16="http://schemas.microsoft.com/office/drawing/2014/main" id="{0E28FF2C-58F6-DCFD-994A-3B0D775C14F4}"/>
              </a:ext>
            </a:extLst>
          </xdr:cNvPr>
          <xdr:cNvSpPr txBox="1"/>
        </xdr:nvSpPr>
        <xdr:spPr>
          <a:xfrm>
            <a:off x="14503400" y="17843500"/>
            <a:ext cx="660400" cy="190500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-22.6%</a:t>
            </a:r>
          </a:p>
        </xdr:txBody>
      </xdr:sp>
      <xdr:sp macro="" textlink="">
        <xdr:nvSpPr>
          <xdr:cNvPr id="173" name="fbb_4_0">
            <a:extLst>
              <a:ext uri="{FF2B5EF4-FFF2-40B4-BE49-F238E27FC236}">
                <a16:creationId xmlns:a16="http://schemas.microsoft.com/office/drawing/2014/main" id="{5852288E-D59A-CD96-0AAD-CE4BA89DCC04}"/>
              </a:ext>
            </a:extLst>
          </xdr:cNvPr>
          <xdr:cNvSpPr txBox="1"/>
        </xdr:nvSpPr>
        <xdr:spPr>
          <a:xfrm>
            <a:off x="15633700" y="17843500"/>
            <a:ext cx="698500" cy="1905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-64 bps</a:t>
            </a:r>
          </a:p>
        </xdr:txBody>
      </xdr:sp>
      <xdr:sp macro="" textlink="">
        <xdr:nvSpPr>
          <xdr:cNvPr id="174" name="fbg_4_2">
            <a:extLst>
              <a:ext uri="{FF2B5EF4-FFF2-40B4-BE49-F238E27FC236}">
                <a16:creationId xmlns:a16="http://schemas.microsoft.com/office/drawing/2014/main" id="{D79206DD-13EE-A9D2-8CE3-794D4AE7C792}"/>
              </a:ext>
            </a:extLst>
          </xdr:cNvPr>
          <xdr:cNvSpPr txBox="1"/>
        </xdr:nvSpPr>
        <xdr:spPr>
          <a:xfrm>
            <a:off x="14503400" y="18706736"/>
            <a:ext cx="660400" cy="190500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+9.5%</a:t>
            </a:r>
          </a:p>
        </xdr:txBody>
      </xdr:sp>
      <xdr:sp macro="" textlink="">
        <xdr:nvSpPr>
          <xdr:cNvPr id="175" name="fbb_4_2">
            <a:extLst>
              <a:ext uri="{FF2B5EF4-FFF2-40B4-BE49-F238E27FC236}">
                <a16:creationId xmlns:a16="http://schemas.microsoft.com/office/drawing/2014/main" id="{8C8E18A6-1C40-A567-B47E-413600AE980E}"/>
              </a:ext>
            </a:extLst>
          </xdr:cNvPr>
          <xdr:cNvSpPr txBox="1"/>
        </xdr:nvSpPr>
        <xdr:spPr>
          <a:xfrm>
            <a:off x="15633700" y="18706736"/>
            <a:ext cx="698500" cy="1905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3 bps</a:t>
            </a:r>
          </a:p>
        </xdr:txBody>
      </xdr:sp>
      <xdr:sp macro="" textlink="">
        <xdr:nvSpPr>
          <xdr:cNvPr id="176" name="fbg_4_3">
            <a:extLst>
              <a:ext uri="{FF2B5EF4-FFF2-40B4-BE49-F238E27FC236}">
                <a16:creationId xmlns:a16="http://schemas.microsoft.com/office/drawing/2014/main" id="{4B8B778B-892E-E044-9B0F-83229CD254ED}"/>
              </a:ext>
            </a:extLst>
          </xdr:cNvPr>
          <xdr:cNvSpPr txBox="1"/>
        </xdr:nvSpPr>
        <xdr:spPr>
          <a:xfrm>
            <a:off x="14503400" y="23110730"/>
            <a:ext cx="660400" cy="190500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+65.4%</a:t>
            </a:r>
          </a:p>
        </xdr:txBody>
      </xdr:sp>
      <xdr:sp macro="" textlink="">
        <xdr:nvSpPr>
          <xdr:cNvPr id="177" name="fbb_4_3">
            <a:extLst>
              <a:ext uri="{FF2B5EF4-FFF2-40B4-BE49-F238E27FC236}">
                <a16:creationId xmlns:a16="http://schemas.microsoft.com/office/drawing/2014/main" id="{0BDF81DE-EA03-C60A-6B05-206C2B470172}"/>
              </a:ext>
            </a:extLst>
          </xdr:cNvPr>
          <xdr:cNvSpPr txBox="1"/>
        </xdr:nvSpPr>
        <xdr:spPr>
          <a:xfrm>
            <a:off x="15633700" y="23110730"/>
            <a:ext cx="698500" cy="1905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163 bps</a:t>
            </a:r>
          </a:p>
        </xdr:txBody>
      </xdr:sp>
      <xdr:sp macro="" textlink="">
        <xdr:nvSpPr>
          <xdr:cNvPr id="178" name="fbh_4">
            <a:extLst>
              <a:ext uri="{FF2B5EF4-FFF2-40B4-BE49-F238E27FC236}">
                <a16:creationId xmlns:a16="http://schemas.microsoft.com/office/drawing/2014/main" id="{32AA10DF-A620-BD1C-6602-0598C1F838A0}"/>
              </a:ext>
            </a:extLst>
          </xdr:cNvPr>
          <xdr:cNvSpPr txBox="1"/>
        </xdr:nvSpPr>
        <xdr:spPr>
          <a:xfrm>
            <a:off x="14465300" y="25806400"/>
            <a:ext cx="1905000" cy="3302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t">
            <a:spAutoFit/>
          </a:bodyPr>
          <a:lstStyle/>
          <a:p>
            <a:pPr algn="ctr"/>
            <a:r>
              <a:rPr kumimoji="0" lang="en-US" sz="1500" b="1" i="0" u="none" strike="noStrike" kern="0" cap="none" spc="0" normalizeH="0" baseline="0" noProof="0">
                <a:ln>
                  <a:noFill/>
                </a:ln>
                <a:solidFill>
                  <a:srgbClr val="0284C7"/>
                </a:solidFill>
                <a:effectLst/>
                <a:uLnTx/>
                <a:uFillTx/>
                <a:latin typeface="Aptos Narrow" panose="02110004020202020204"/>
              </a:rPr>
              <a:t>Packsize</a:t>
            </a:r>
          </a:p>
        </xdr:txBody>
      </xdr:sp>
      <xdr:sp macro="" textlink="">
        <xdr:nvSpPr>
          <xdr:cNvPr id="179" name="fb_title">
            <a:extLst>
              <a:ext uri="{FF2B5EF4-FFF2-40B4-BE49-F238E27FC236}">
                <a16:creationId xmlns:a16="http://schemas.microsoft.com/office/drawing/2014/main" id="{B52D3B1D-99A7-03B2-B444-B0634BBFF147}"/>
              </a:ext>
            </a:extLst>
          </xdr:cNvPr>
          <xdr:cNvSpPr txBox="1"/>
        </xdr:nvSpPr>
        <xdr:spPr>
          <a:xfrm>
            <a:off x="6845300" y="17526000"/>
            <a:ext cx="9525000" cy="2540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t">
            <a:spAutoFit/>
          </a:bodyPr>
          <a:lstStyle/>
          <a:p>
            <a:pPr algn="ctr"/>
            <a:r>
              <a:rPr kumimoji="0" lang="en-US" sz="13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FAB ENH — Columnar Marimekko Decomposition</a:t>
            </a:r>
          </a:p>
        </xdr:txBody>
      </xdr:sp>
    </xdr:grpSp>
    <xdr:clientData/>
  </xdr:twoCellAnchor>
  <xdr:twoCellAnchor>
    <xdr:from>
      <xdr:col>7</xdr:col>
      <xdr:colOff>522514</xdr:colOff>
      <xdr:row>144</xdr:row>
      <xdr:rowOff>166914</xdr:rowOff>
    </xdr:from>
    <xdr:to>
      <xdr:col>23</xdr:col>
      <xdr:colOff>322943</xdr:colOff>
      <xdr:row>192</xdr:row>
      <xdr:rowOff>68943</xdr:rowOff>
    </xdr:to>
    <xdr:grpSp>
      <xdr:nvGrpSpPr>
        <xdr:cNvPr id="237" name="DW_Decomposition">
          <a:extLst>
            <a:ext uri="{FF2B5EF4-FFF2-40B4-BE49-F238E27FC236}">
              <a16:creationId xmlns:a16="http://schemas.microsoft.com/office/drawing/2014/main" id="{29CCF0BC-9B8A-D3FE-7613-81A30DB471DA}"/>
            </a:ext>
          </a:extLst>
        </xdr:cNvPr>
        <xdr:cNvGrpSpPr/>
      </xdr:nvGrpSpPr>
      <xdr:grpSpPr>
        <a:xfrm>
          <a:off x="6845300" y="26365200"/>
          <a:ext cx="9525000" cy="8610600"/>
          <a:chOff x="6845300" y="26365200"/>
          <a:chExt cx="9525000" cy="8610600"/>
        </a:xfrm>
      </xdr:grpSpPr>
      <xdr:sp macro="" textlink="">
        <xdr:nvSpPr>
          <xdr:cNvPr id="181" name="dw_0_0">
            <a:extLst>
              <a:ext uri="{FF2B5EF4-FFF2-40B4-BE49-F238E27FC236}">
                <a16:creationId xmlns:a16="http://schemas.microsoft.com/office/drawing/2014/main" id="{0FE92927-647E-4FBD-BCAF-87C9E74CC364}"/>
              </a:ext>
            </a:extLst>
          </xdr:cNvPr>
          <xdr:cNvSpPr/>
        </xdr:nvSpPr>
        <xdr:spPr>
          <a:xfrm>
            <a:off x="6845300" y="26644600"/>
            <a:ext cx="1905000" cy="7873999"/>
          </a:xfrm>
          <a:prstGeom prst="rect">
            <a:avLst/>
          </a:prstGeom>
          <a:solidFill>
            <a:srgbClr val="D81E3A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4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62.1%
DW</a:t>
            </a:r>
          </a:p>
        </xdr:txBody>
      </xdr:sp>
      <xdr:sp macro="" textlink="">
        <xdr:nvSpPr>
          <xdr:cNvPr id="182" name="dw_1_0">
            <a:extLst>
              <a:ext uri="{FF2B5EF4-FFF2-40B4-BE49-F238E27FC236}">
                <a16:creationId xmlns:a16="http://schemas.microsoft.com/office/drawing/2014/main" id="{5FA99E6C-66CA-46B7-A5CB-751A16C69039}"/>
              </a:ext>
            </a:extLst>
          </xdr:cNvPr>
          <xdr:cNvSpPr/>
        </xdr:nvSpPr>
        <xdr:spPr>
          <a:xfrm>
            <a:off x="8750300" y="26644600"/>
            <a:ext cx="1905000" cy="2109045"/>
          </a:xfrm>
          <a:prstGeom prst="rect">
            <a:avLst/>
          </a:prstGeom>
          <a:solidFill>
            <a:srgbClr val="D81E3A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4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16.6%
SH CHAIN</a:t>
            </a:r>
          </a:p>
        </xdr:txBody>
      </xdr:sp>
      <xdr:sp macro="" textlink="">
        <xdr:nvSpPr>
          <xdr:cNvPr id="183" name="dw_1_1">
            <a:extLst>
              <a:ext uri="{FF2B5EF4-FFF2-40B4-BE49-F238E27FC236}">
                <a16:creationId xmlns:a16="http://schemas.microsoft.com/office/drawing/2014/main" id="{74B008CC-01AE-490B-8B26-93B73EF5C867}"/>
              </a:ext>
            </a:extLst>
          </xdr:cNvPr>
          <xdr:cNvSpPr/>
        </xdr:nvSpPr>
        <xdr:spPr>
          <a:xfrm>
            <a:off x="8750300" y="28753645"/>
            <a:ext cx="1905000" cy="185254"/>
          </a:xfrm>
          <a:prstGeom prst="rect">
            <a:avLst/>
          </a:prstGeom>
          <a:solidFill>
            <a:srgbClr val="1B8129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/>
          </a:p>
        </xdr:txBody>
      </xdr:sp>
      <xdr:sp macro="" textlink="">
        <xdr:nvSpPr>
          <xdr:cNvPr id="184" name="dw_1_2">
            <a:extLst>
              <a:ext uri="{FF2B5EF4-FFF2-40B4-BE49-F238E27FC236}">
                <a16:creationId xmlns:a16="http://schemas.microsoft.com/office/drawing/2014/main" id="{E4311C48-C421-4B9F-8153-125ECEB457F6}"/>
              </a:ext>
            </a:extLst>
          </xdr:cNvPr>
          <xdr:cNvSpPr/>
        </xdr:nvSpPr>
        <xdr:spPr>
          <a:xfrm>
            <a:off x="8750300" y="28938900"/>
            <a:ext cx="1905000" cy="2388333"/>
          </a:xfrm>
          <a:prstGeom prst="rect">
            <a:avLst/>
          </a:prstGeom>
          <a:solidFill>
            <a:srgbClr val="D81E3A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4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18.8%
OT</a:t>
            </a:r>
          </a:p>
        </xdr:txBody>
      </xdr:sp>
      <xdr:sp macro="" textlink="">
        <xdr:nvSpPr>
          <xdr:cNvPr id="185" name="dw_1_3">
            <a:extLst>
              <a:ext uri="{FF2B5EF4-FFF2-40B4-BE49-F238E27FC236}">
                <a16:creationId xmlns:a16="http://schemas.microsoft.com/office/drawing/2014/main" id="{53BE22B3-7333-40B5-AADC-0171E1AD4D07}"/>
              </a:ext>
            </a:extLst>
          </xdr:cNvPr>
          <xdr:cNvSpPr/>
        </xdr:nvSpPr>
        <xdr:spPr>
          <a:xfrm>
            <a:off x="8750300" y="31327233"/>
            <a:ext cx="1905000" cy="1774095"/>
          </a:xfrm>
          <a:prstGeom prst="rect">
            <a:avLst/>
          </a:prstGeom>
          <a:solidFill>
            <a:srgbClr val="1B8129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4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14.0%
LMT</a:t>
            </a:r>
          </a:p>
        </xdr:txBody>
      </xdr:sp>
      <xdr:sp macro="" textlink="">
        <xdr:nvSpPr>
          <xdr:cNvPr id="186" name="dw_1_4">
            <a:extLst>
              <a:ext uri="{FF2B5EF4-FFF2-40B4-BE49-F238E27FC236}">
                <a16:creationId xmlns:a16="http://schemas.microsoft.com/office/drawing/2014/main" id="{FA65EB11-EA88-40E0-8CA3-18EBDF9F0CCC}"/>
              </a:ext>
            </a:extLst>
          </xdr:cNvPr>
          <xdr:cNvSpPr/>
        </xdr:nvSpPr>
        <xdr:spPr>
          <a:xfrm>
            <a:off x="8750300" y="33101329"/>
            <a:ext cx="1905000" cy="1417270"/>
          </a:xfrm>
          <a:prstGeom prst="rect">
            <a:avLst/>
          </a:prstGeom>
          <a:solidFill>
            <a:srgbClr val="D81E3A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4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11.2%
CVS</a:t>
            </a:r>
          </a:p>
        </xdr:txBody>
      </xdr:sp>
      <xdr:sp macro="" textlink="">
        <xdr:nvSpPr>
          <xdr:cNvPr id="187" name="dw_2_0">
            <a:extLst>
              <a:ext uri="{FF2B5EF4-FFF2-40B4-BE49-F238E27FC236}">
                <a16:creationId xmlns:a16="http://schemas.microsoft.com/office/drawing/2014/main" id="{17397143-1F34-46B4-9E19-528DDD2CCB59}"/>
              </a:ext>
            </a:extLst>
          </xdr:cNvPr>
          <xdr:cNvSpPr/>
        </xdr:nvSpPr>
        <xdr:spPr>
          <a:xfrm>
            <a:off x="10655300" y="26644600"/>
            <a:ext cx="1905000" cy="6718102"/>
          </a:xfrm>
          <a:prstGeom prst="rect">
            <a:avLst/>
          </a:prstGeom>
          <a:solidFill>
            <a:srgbClr val="D81E3A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4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53.0%
TIER1</a:t>
            </a:r>
          </a:p>
        </xdr:txBody>
      </xdr:sp>
      <xdr:sp macro="" textlink="">
        <xdr:nvSpPr>
          <xdr:cNvPr id="188" name="dw_2_1">
            <a:extLst>
              <a:ext uri="{FF2B5EF4-FFF2-40B4-BE49-F238E27FC236}">
                <a16:creationId xmlns:a16="http://schemas.microsoft.com/office/drawing/2014/main" id="{9EB607B2-7C67-48CE-83AA-B1FD5010430A}"/>
              </a:ext>
            </a:extLst>
          </xdr:cNvPr>
          <xdr:cNvSpPr/>
        </xdr:nvSpPr>
        <xdr:spPr>
          <a:xfrm>
            <a:off x="10655300" y="33362702"/>
            <a:ext cx="1905000" cy="248648"/>
          </a:xfrm>
          <a:prstGeom prst="rect">
            <a:avLst/>
          </a:prstGeom>
          <a:solidFill>
            <a:srgbClr val="1B8129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/>
          </a:p>
        </xdr:txBody>
      </xdr:sp>
      <xdr:sp macro="" textlink="">
        <xdr:nvSpPr>
          <xdr:cNvPr id="189" name="dw_2_2">
            <a:extLst>
              <a:ext uri="{FF2B5EF4-FFF2-40B4-BE49-F238E27FC236}">
                <a16:creationId xmlns:a16="http://schemas.microsoft.com/office/drawing/2014/main" id="{3B31EF0B-02F4-4076-912F-E0475232CD10}"/>
              </a:ext>
            </a:extLst>
          </xdr:cNvPr>
          <xdr:cNvSpPr/>
        </xdr:nvSpPr>
        <xdr:spPr>
          <a:xfrm>
            <a:off x="10655300" y="33611350"/>
            <a:ext cx="1905000" cy="907249"/>
          </a:xfrm>
          <a:prstGeom prst="rect">
            <a:avLst/>
          </a:prstGeom>
          <a:solidFill>
            <a:srgbClr val="1B8129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4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7.2%
TIER3</a:t>
            </a:r>
          </a:p>
        </xdr:txBody>
      </xdr:sp>
      <xdr:sp macro="" textlink="">
        <xdr:nvSpPr>
          <xdr:cNvPr id="190" name="dw_3_0">
            <a:extLst>
              <a:ext uri="{FF2B5EF4-FFF2-40B4-BE49-F238E27FC236}">
                <a16:creationId xmlns:a16="http://schemas.microsoft.com/office/drawing/2014/main" id="{D3C1A7C9-A63E-4631-9851-709107370753}"/>
              </a:ext>
            </a:extLst>
          </xdr:cNvPr>
          <xdr:cNvSpPr/>
        </xdr:nvSpPr>
        <xdr:spPr>
          <a:xfrm>
            <a:off x="12560300" y="26644600"/>
            <a:ext cx="1905000" cy="1923735"/>
          </a:xfrm>
          <a:prstGeom prst="rect">
            <a:avLst/>
          </a:prstGeom>
          <a:solidFill>
            <a:srgbClr val="D81E3A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4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15.2%
GBKK</a:t>
            </a:r>
          </a:p>
        </xdr:txBody>
      </xdr:sp>
      <xdr:sp macro="" textlink="">
        <xdr:nvSpPr>
          <xdr:cNvPr id="191" name="dw_3_1">
            <a:extLst>
              <a:ext uri="{FF2B5EF4-FFF2-40B4-BE49-F238E27FC236}">
                <a16:creationId xmlns:a16="http://schemas.microsoft.com/office/drawing/2014/main" id="{F4419800-D27A-492A-BA5D-F152EE78BF39}"/>
              </a:ext>
            </a:extLst>
          </xdr:cNvPr>
          <xdr:cNvSpPr/>
        </xdr:nvSpPr>
        <xdr:spPr>
          <a:xfrm>
            <a:off x="12560300" y="28568335"/>
            <a:ext cx="1905000" cy="1902937"/>
          </a:xfrm>
          <a:prstGeom prst="rect">
            <a:avLst/>
          </a:prstGeom>
          <a:solidFill>
            <a:srgbClr val="D81E3A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4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15.0%
CENTRAL</a:t>
            </a:r>
          </a:p>
        </xdr:txBody>
      </xdr:sp>
      <xdr:sp macro="" textlink="">
        <xdr:nvSpPr>
          <xdr:cNvPr id="192" name="dw_3_2">
            <a:extLst>
              <a:ext uri="{FF2B5EF4-FFF2-40B4-BE49-F238E27FC236}">
                <a16:creationId xmlns:a16="http://schemas.microsoft.com/office/drawing/2014/main" id="{57879073-91F3-4282-9EF3-03B3EE75FBD1}"/>
              </a:ext>
            </a:extLst>
          </xdr:cNvPr>
          <xdr:cNvSpPr/>
        </xdr:nvSpPr>
        <xdr:spPr>
          <a:xfrm>
            <a:off x="12560300" y="30471272"/>
            <a:ext cx="1905000" cy="902809"/>
          </a:xfrm>
          <a:prstGeom prst="rect">
            <a:avLst/>
          </a:prstGeom>
          <a:solidFill>
            <a:srgbClr val="D81E3A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4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7.1%
NORTH</a:t>
            </a:r>
          </a:p>
        </xdr:txBody>
      </xdr:sp>
      <xdr:sp macro="" textlink="">
        <xdr:nvSpPr>
          <xdr:cNvPr id="193" name="dw_3_3">
            <a:extLst>
              <a:ext uri="{FF2B5EF4-FFF2-40B4-BE49-F238E27FC236}">
                <a16:creationId xmlns:a16="http://schemas.microsoft.com/office/drawing/2014/main" id="{A8FEC1EA-2CEB-467C-9B24-C6EFB02CDBDE}"/>
              </a:ext>
            </a:extLst>
          </xdr:cNvPr>
          <xdr:cNvSpPr/>
        </xdr:nvSpPr>
        <xdr:spPr>
          <a:xfrm>
            <a:off x="12560300" y="31374082"/>
            <a:ext cx="1905000" cy="2235434"/>
          </a:xfrm>
          <a:prstGeom prst="rect">
            <a:avLst/>
          </a:prstGeom>
          <a:solidFill>
            <a:srgbClr val="1B8129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4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17.6%
NORTHEAST</a:t>
            </a:r>
          </a:p>
        </xdr:txBody>
      </xdr:sp>
      <xdr:sp macro="" textlink="">
        <xdr:nvSpPr>
          <xdr:cNvPr id="194" name="dw_3_4">
            <a:extLst>
              <a:ext uri="{FF2B5EF4-FFF2-40B4-BE49-F238E27FC236}">
                <a16:creationId xmlns:a16="http://schemas.microsoft.com/office/drawing/2014/main" id="{38B12852-E790-431D-95AF-5788AE8CCCFA}"/>
              </a:ext>
            </a:extLst>
          </xdr:cNvPr>
          <xdr:cNvSpPr/>
        </xdr:nvSpPr>
        <xdr:spPr>
          <a:xfrm>
            <a:off x="12560300" y="33609516"/>
            <a:ext cx="1905000" cy="909083"/>
          </a:xfrm>
          <a:prstGeom prst="rect">
            <a:avLst/>
          </a:prstGeom>
          <a:solidFill>
            <a:srgbClr val="D81E3A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4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7.2%
SOUTH</a:t>
            </a:r>
          </a:p>
        </xdr:txBody>
      </xdr:sp>
      <xdr:sp macro="" textlink="">
        <xdr:nvSpPr>
          <xdr:cNvPr id="195" name="dw_4_0">
            <a:extLst>
              <a:ext uri="{FF2B5EF4-FFF2-40B4-BE49-F238E27FC236}">
                <a16:creationId xmlns:a16="http://schemas.microsoft.com/office/drawing/2014/main" id="{BD763092-222D-43A0-BA98-A0F23E58D222}"/>
              </a:ext>
            </a:extLst>
          </xdr:cNvPr>
          <xdr:cNvSpPr/>
        </xdr:nvSpPr>
        <xdr:spPr>
          <a:xfrm>
            <a:off x="14465300" y="26644600"/>
            <a:ext cx="1905000" cy="2573016"/>
          </a:xfrm>
          <a:prstGeom prst="rect">
            <a:avLst/>
          </a:prstGeom>
          <a:solidFill>
            <a:srgbClr val="D81E3A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4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20.3%
S</a:t>
            </a:r>
          </a:p>
        </xdr:txBody>
      </xdr:sp>
      <xdr:sp macro="" textlink="">
        <xdr:nvSpPr>
          <xdr:cNvPr id="196" name="dw_4_1">
            <a:extLst>
              <a:ext uri="{FF2B5EF4-FFF2-40B4-BE49-F238E27FC236}">
                <a16:creationId xmlns:a16="http://schemas.microsoft.com/office/drawing/2014/main" id="{2BEDF663-1120-4E17-AD3A-07A99CC6B62A}"/>
              </a:ext>
            </a:extLst>
          </xdr:cNvPr>
          <xdr:cNvSpPr/>
        </xdr:nvSpPr>
        <xdr:spPr>
          <a:xfrm>
            <a:off x="14465300" y="29217616"/>
            <a:ext cx="1905000" cy="1614637"/>
          </a:xfrm>
          <a:prstGeom prst="rect">
            <a:avLst/>
          </a:prstGeom>
          <a:solidFill>
            <a:srgbClr val="1B8129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4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12.7%
M</a:t>
            </a:r>
          </a:p>
        </xdr:txBody>
      </xdr:sp>
      <xdr:sp macro="" textlink="">
        <xdr:nvSpPr>
          <xdr:cNvPr id="197" name="dw_4_2">
            <a:extLst>
              <a:ext uri="{FF2B5EF4-FFF2-40B4-BE49-F238E27FC236}">
                <a16:creationId xmlns:a16="http://schemas.microsoft.com/office/drawing/2014/main" id="{F9D630F6-F268-43A0-8A15-114342DF3299}"/>
              </a:ext>
            </a:extLst>
          </xdr:cNvPr>
          <xdr:cNvSpPr/>
        </xdr:nvSpPr>
        <xdr:spPr>
          <a:xfrm>
            <a:off x="14465300" y="30832253"/>
            <a:ext cx="1905000" cy="1477331"/>
          </a:xfrm>
          <a:prstGeom prst="rect">
            <a:avLst/>
          </a:prstGeom>
          <a:solidFill>
            <a:srgbClr val="D81E3A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4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11.7%
L</a:t>
            </a:r>
          </a:p>
        </xdr:txBody>
      </xdr:sp>
      <xdr:sp macro="" textlink="">
        <xdr:nvSpPr>
          <xdr:cNvPr id="198" name="dw_4_3">
            <a:extLst>
              <a:ext uri="{FF2B5EF4-FFF2-40B4-BE49-F238E27FC236}">
                <a16:creationId xmlns:a16="http://schemas.microsoft.com/office/drawing/2014/main" id="{9126B695-767A-45CA-AF4B-E50F43FF2B20}"/>
              </a:ext>
            </a:extLst>
          </xdr:cNvPr>
          <xdr:cNvSpPr/>
        </xdr:nvSpPr>
        <xdr:spPr>
          <a:xfrm>
            <a:off x="14465300" y="32309585"/>
            <a:ext cx="1905000" cy="2209014"/>
          </a:xfrm>
          <a:prstGeom prst="rect">
            <a:avLst/>
          </a:prstGeom>
          <a:solidFill>
            <a:srgbClr val="1B8129"/>
          </a:solidFill>
          <a:ln w="19050" cap="flat" cmpd="sng" algn="ctr">
            <a:solidFill>
              <a:srgbClr val="FFFFFF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US" sz="14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17.4%
XL</a:t>
            </a:r>
          </a:p>
        </xdr:txBody>
      </xdr:sp>
      <xdr:sp macro="" textlink="">
        <xdr:nvSpPr>
          <xdr:cNvPr id="199" name="dwg_0_0">
            <a:extLst>
              <a:ext uri="{FF2B5EF4-FFF2-40B4-BE49-F238E27FC236}">
                <a16:creationId xmlns:a16="http://schemas.microsoft.com/office/drawing/2014/main" id="{0DECB646-A871-F3A4-A009-9B781FC38795}"/>
              </a:ext>
            </a:extLst>
          </xdr:cNvPr>
          <xdr:cNvSpPr txBox="1"/>
        </xdr:nvSpPr>
        <xdr:spPr>
          <a:xfrm>
            <a:off x="6883400" y="26682700"/>
            <a:ext cx="660400" cy="190500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+3.4%</a:t>
            </a:r>
          </a:p>
        </xdr:txBody>
      </xdr:sp>
      <xdr:sp macro="" textlink="">
        <xdr:nvSpPr>
          <xdr:cNvPr id="200" name="dwb_0_0">
            <a:extLst>
              <a:ext uri="{FF2B5EF4-FFF2-40B4-BE49-F238E27FC236}">
                <a16:creationId xmlns:a16="http://schemas.microsoft.com/office/drawing/2014/main" id="{3A9561F9-8851-57CA-B25B-7CB090E648EF}"/>
              </a:ext>
            </a:extLst>
          </xdr:cNvPr>
          <xdr:cNvSpPr txBox="1"/>
        </xdr:nvSpPr>
        <xdr:spPr>
          <a:xfrm>
            <a:off x="8013700" y="26682700"/>
            <a:ext cx="698500" cy="1905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-137 bps</a:t>
            </a:r>
          </a:p>
        </xdr:txBody>
      </xdr:sp>
      <xdr:sp macro="" textlink="">
        <xdr:nvSpPr>
          <xdr:cNvPr id="201" name="dwh_0">
            <a:extLst>
              <a:ext uri="{FF2B5EF4-FFF2-40B4-BE49-F238E27FC236}">
                <a16:creationId xmlns:a16="http://schemas.microsoft.com/office/drawing/2014/main" id="{C7C7A390-7F2C-EA51-FD83-CBB824197969}"/>
              </a:ext>
            </a:extLst>
          </xdr:cNvPr>
          <xdr:cNvSpPr txBox="1"/>
        </xdr:nvSpPr>
        <xdr:spPr>
          <a:xfrm>
            <a:off x="6845300" y="34645600"/>
            <a:ext cx="1905000" cy="3302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t">
            <a:spAutoFit/>
          </a:bodyPr>
          <a:lstStyle/>
          <a:p>
            <a:pPr algn="ctr"/>
            <a:r>
              <a:rPr kumimoji="0" lang="en-US" sz="1500" b="1" i="0" u="none" strike="noStrike" kern="0" cap="none" spc="0" normalizeH="0" baseline="0" noProof="0">
                <a:ln>
                  <a:noFill/>
                </a:ln>
                <a:solidFill>
                  <a:srgbClr val="0284C7"/>
                </a:solidFill>
                <a:effectLst/>
                <a:uLnTx/>
                <a:uFillTx/>
                <a:latin typeface="Aptos Narrow" panose="02110004020202020204"/>
              </a:rPr>
              <a:t>Total TH</a:t>
            </a:r>
          </a:p>
        </xdr:txBody>
      </xdr:sp>
      <xdr:sp macro="" textlink="">
        <xdr:nvSpPr>
          <xdr:cNvPr id="202" name="dwg_1_0">
            <a:extLst>
              <a:ext uri="{FF2B5EF4-FFF2-40B4-BE49-F238E27FC236}">
                <a16:creationId xmlns:a16="http://schemas.microsoft.com/office/drawing/2014/main" id="{9A9A2043-5099-F135-A729-E9BAA10B8E7B}"/>
              </a:ext>
            </a:extLst>
          </xdr:cNvPr>
          <xdr:cNvSpPr txBox="1"/>
        </xdr:nvSpPr>
        <xdr:spPr>
          <a:xfrm>
            <a:off x="8788400" y="26682700"/>
            <a:ext cx="660400" cy="190500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-5.7%</a:t>
            </a:r>
          </a:p>
        </xdr:txBody>
      </xdr:sp>
      <xdr:sp macro="" textlink="">
        <xdr:nvSpPr>
          <xdr:cNvPr id="203" name="dwb_1_0">
            <a:extLst>
              <a:ext uri="{FF2B5EF4-FFF2-40B4-BE49-F238E27FC236}">
                <a16:creationId xmlns:a16="http://schemas.microsoft.com/office/drawing/2014/main" id="{D13B0B2B-BE82-086A-274D-53B7A62B941B}"/>
              </a:ext>
            </a:extLst>
          </xdr:cNvPr>
          <xdr:cNvSpPr txBox="1"/>
        </xdr:nvSpPr>
        <xdr:spPr>
          <a:xfrm>
            <a:off x="9918700" y="26682700"/>
            <a:ext cx="698500" cy="1905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-202 bps</a:t>
            </a:r>
          </a:p>
        </xdr:txBody>
      </xdr:sp>
      <xdr:sp macro="" textlink="">
        <xdr:nvSpPr>
          <xdr:cNvPr id="204" name="dwg_1_2">
            <a:extLst>
              <a:ext uri="{FF2B5EF4-FFF2-40B4-BE49-F238E27FC236}">
                <a16:creationId xmlns:a16="http://schemas.microsoft.com/office/drawing/2014/main" id="{83A48E12-4922-EB63-E1AB-C816152F4E77}"/>
              </a:ext>
            </a:extLst>
          </xdr:cNvPr>
          <xdr:cNvSpPr txBox="1"/>
        </xdr:nvSpPr>
        <xdr:spPr>
          <a:xfrm>
            <a:off x="8788400" y="28977000"/>
            <a:ext cx="660400" cy="190500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+1.6%</a:t>
            </a:r>
          </a:p>
        </xdr:txBody>
      </xdr:sp>
      <xdr:sp macro="" textlink="">
        <xdr:nvSpPr>
          <xdr:cNvPr id="205" name="dwb_1_2">
            <a:extLst>
              <a:ext uri="{FF2B5EF4-FFF2-40B4-BE49-F238E27FC236}">
                <a16:creationId xmlns:a16="http://schemas.microsoft.com/office/drawing/2014/main" id="{2092049E-5920-67F8-A857-42F7DFE51A5E}"/>
              </a:ext>
            </a:extLst>
          </xdr:cNvPr>
          <xdr:cNvSpPr txBox="1"/>
        </xdr:nvSpPr>
        <xdr:spPr>
          <a:xfrm>
            <a:off x="9918700" y="28977000"/>
            <a:ext cx="698500" cy="1905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-77 bps</a:t>
            </a:r>
          </a:p>
        </xdr:txBody>
      </xdr:sp>
      <xdr:sp macro="" textlink="">
        <xdr:nvSpPr>
          <xdr:cNvPr id="206" name="dwg_1_3">
            <a:extLst>
              <a:ext uri="{FF2B5EF4-FFF2-40B4-BE49-F238E27FC236}">
                <a16:creationId xmlns:a16="http://schemas.microsoft.com/office/drawing/2014/main" id="{E38335FF-3743-6B7E-73BD-F4424B75D2AC}"/>
              </a:ext>
            </a:extLst>
          </xdr:cNvPr>
          <xdr:cNvSpPr txBox="1"/>
        </xdr:nvSpPr>
        <xdr:spPr>
          <a:xfrm>
            <a:off x="8788400" y="31365333"/>
            <a:ext cx="660400" cy="190500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+29.9%</a:t>
            </a:r>
          </a:p>
        </xdr:txBody>
      </xdr:sp>
      <xdr:sp macro="" textlink="">
        <xdr:nvSpPr>
          <xdr:cNvPr id="207" name="dwb_1_3">
            <a:extLst>
              <a:ext uri="{FF2B5EF4-FFF2-40B4-BE49-F238E27FC236}">
                <a16:creationId xmlns:a16="http://schemas.microsoft.com/office/drawing/2014/main" id="{032FD3BE-D15E-B19B-75B3-F0D806897F1D}"/>
              </a:ext>
            </a:extLst>
          </xdr:cNvPr>
          <xdr:cNvSpPr txBox="1"/>
        </xdr:nvSpPr>
        <xdr:spPr>
          <a:xfrm>
            <a:off x="9918700" y="31365333"/>
            <a:ext cx="698500" cy="1905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260 bps</a:t>
            </a:r>
          </a:p>
        </xdr:txBody>
      </xdr:sp>
      <xdr:sp macro="" textlink="">
        <xdr:nvSpPr>
          <xdr:cNvPr id="208" name="dwg_1_4">
            <a:extLst>
              <a:ext uri="{FF2B5EF4-FFF2-40B4-BE49-F238E27FC236}">
                <a16:creationId xmlns:a16="http://schemas.microsoft.com/office/drawing/2014/main" id="{4E4760F9-8D8B-3227-5E54-79914F0DFAF5}"/>
              </a:ext>
            </a:extLst>
          </xdr:cNvPr>
          <xdr:cNvSpPr txBox="1"/>
        </xdr:nvSpPr>
        <xdr:spPr>
          <a:xfrm>
            <a:off x="8788400" y="33139429"/>
            <a:ext cx="660400" cy="190500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-7.3%</a:t>
            </a:r>
          </a:p>
        </xdr:txBody>
      </xdr:sp>
      <xdr:sp macro="" textlink="">
        <xdr:nvSpPr>
          <xdr:cNvPr id="209" name="dwb_1_4">
            <a:extLst>
              <a:ext uri="{FF2B5EF4-FFF2-40B4-BE49-F238E27FC236}">
                <a16:creationId xmlns:a16="http://schemas.microsoft.com/office/drawing/2014/main" id="{06EC01D2-DD06-0F9E-14B8-514590F5C3AC}"/>
              </a:ext>
            </a:extLst>
          </xdr:cNvPr>
          <xdr:cNvSpPr txBox="1"/>
        </xdr:nvSpPr>
        <xdr:spPr>
          <a:xfrm>
            <a:off x="9918700" y="33139429"/>
            <a:ext cx="698500" cy="1905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-157 bps</a:t>
            </a:r>
          </a:p>
        </xdr:txBody>
      </xdr:sp>
      <xdr:sp macro="" textlink="">
        <xdr:nvSpPr>
          <xdr:cNvPr id="210" name="dwh_1">
            <a:extLst>
              <a:ext uri="{FF2B5EF4-FFF2-40B4-BE49-F238E27FC236}">
                <a16:creationId xmlns:a16="http://schemas.microsoft.com/office/drawing/2014/main" id="{DD46A376-2667-6189-5050-7DB620A5DDA6}"/>
              </a:ext>
            </a:extLst>
          </xdr:cNvPr>
          <xdr:cNvSpPr txBox="1"/>
        </xdr:nvSpPr>
        <xdr:spPr>
          <a:xfrm>
            <a:off x="8750300" y="34645600"/>
            <a:ext cx="1905000" cy="3302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t">
            <a:spAutoFit/>
          </a:bodyPr>
          <a:lstStyle/>
          <a:p>
            <a:pPr algn="ctr"/>
            <a:r>
              <a:rPr kumimoji="0" lang="en-US" sz="1500" b="1" i="0" u="none" strike="noStrike" kern="0" cap="none" spc="0" normalizeH="0" baseline="0" noProof="0">
                <a:ln>
                  <a:noFill/>
                </a:ln>
                <a:solidFill>
                  <a:srgbClr val="0284C7"/>
                </a:solidFill>
                <a:effectLst/>
                <a:uLnTx/>
                <a:uFillTx/>
                <a:latin typeface="Aptos Narrow" panose="02110004020202020204"/>
              </a:rPr>
              <a:t>Channel</a:t>
            </a:r>
          </a:p>
        </xdr:txBody>
      </xdr:sp>
      <xdr:sp macro="" textlink="">
        <xdr:nvSpPr>
          <xdr:cNvPr id="211" name="dwg_2_0">
            <a:extLst>
              <a:ext uri="{FF2B5EF4-FFF2-40B4-BE49-F238E27FC236}">
                <a16:creationId xmlns:a16="http://schemas.microsoft.com/office/drawing/2014/main" id="{61FCE9DA-4629-9649-8954-7248CEB58557}"/>
              </a:ext>
            </a:extLst>
          </xdr:cNvPr>
          <xdr:cNvSpPr txBox="1"/>
        </xdr:nvSpPr>
        <xdr:spPr>
          <a:xfrm>
            <a:off x="10693400" y="26682700"/>
            <a:ext cx="660400" cy="190500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+0.6%</a:t>
            </a:r>
          </a:p>
        </xdr:txBody>
      </xdr:sp>
      <xdr:sp macro="" textlink="">
        <xdr:nvSpPr>
          <xdr:cNvPr id="212" name="dwb_2_0">
            <a:extLst>
              <a:ext uri="{FF2B5EF4-FFF2-40B4-BE49-F238E27FC236}">
                <a16:creationId xmlns:a16="http://schemas.microsoft.com/office/drawing/2014/main" id="{43D9D01E-775B-D99A-BDD4-BDDD5B45378A}"/>
              </a:ext>
            </a:extLst>
          </xdr:cNvPr>
          <xdr:cNvSpPr txBox="1"/>
        </xdr:nvSpPr>
        <xdr:spPr>
          <a:xfrm>
            <a:off x="11823700" y="26682700"/>
            <a:ext cx="698500" cy="1905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-270 bps</a:t>
            </a:r>
          </a:p>
        </xdr:txBody>
      </xdr:sp>
      <xdr:sp macro="" textlink="">
        <xdr:nvSpPr>
          <xdr:cNvPr id="213" name="dwg_2_2">
            <a:extLst>
              <a:ext uri="{FF2B5EF4-FFF2-40B4-BE49-F238E27FC236}">
                <a16:creationId xmlns:a16="http://schemas.microsoft.com/office/drawing/2014/main" id="{0F717B57-1FB4-57D1-AFA0-94332273D8F2}"/>
              </a:ext>
            </a:extLst>
          </xdr:cNvPr>
          <xdr:cNvSpPr txBox="1"/>
        </xdr:nvSpPr>
        <xdr:spPr>
          <a:xfrm>
            <a:off x="10693400" y="33649450"/>
            <a:ext cx="660400" cy="190500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+5.9%</a:t>
            </a:r>
          </a:p>
        </xdr:txBody>
      </xdr:sp>
      <xdr:sp macro="" textlink="">
        <xdr:nvSpPr>
          <xdr:cNvPr id="214" name="dwb_2_2">
            <a:extLst>
              <a:ext uri="{FF2B5EF4-FFF2-40B4-BE49-F238E27FC236}">
                <a16:creationId xmlns:a16="http://schemas.microsoft.com/office/drawing/2014/main" id="{9A4C5A96-DD45-2860-A004-C7CFD3378D4A}"/>
              </a:ext>
            </a:extLst>
          </xdr:cNvPr>
          <xdr:cNvSpPr txBox="1"/>
        </xdr:nvSpPr>
        <xdr:spPr>
          <a:xfrm>
            <a:off x="11823700" y="33649450"/>
            <a:ext cx="698500" cy="1905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1 bps</a:t>
            </a:r>
          </a:p>
        </xdr:txBody>
      </xdr:sp>
      <xdr:sp macro="" textlink="">
        <xdr:nvSpPr>
          <xdr:cNvPr id="215" name="dwh_2">
            <a:extLst>
              <a:ext uri="{FF2B5EF4-FFF2-40B4-BE49-F238E27FC236}">
                <a16:creationId xmlns:a16="http://schemas.microsoft.com/office/drawing/2014/main" id="{AE41FB04-7B8D-B086-29F0-6D25ECF836ED}"/>
              </a:ext>
            </a:extLst>
          </xdr:cNvPr>
          <xdr:cNvSpPr txBox="1"/>
        </xdr:nvSpPr>
        <xdr:spPr>
          <a:xfrm>
            <a:off x="10655300" y="34645600"/>
            <a:ext cx="1905000" cy="3302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t">
            <a:spAutoFit/>
          </a:bodyPr>
          <a:lstStyle/>
          <a:p>
            <a:pPr algn="ctr"/>
            <a:r>
              <a:rPr kumimoji="0" lang="en-US" sz="1500" b="1" i="0" u="none" strike="noStrike" kern="0" cap="none" spc="0" normalizeH="0" baseline="0" noProof="0">
                <a:ln>
                  <a:noFill/>
                </a:ln>
                <a:solidFill>
                  <a:srgbClr val="0284C7"/>
                </a:solidFill>
                <a:effectLst/>
                <a:uLnTx/>
                <a:uFillTx/>
                <a:latin typeface="Aptos Narrow" panose="02110004020202020204"/>
              </a:rPr>
              <a:t>Price</a:t>
            </a:r>
          </a:p>
        </xdr:txBody>
      </xdr:sp>
      <xdr:sp macro="" textlink="">
        <xdr:nvSpPr>
          <xdr:cNvPr id="216" name="dwg_3_0">
            <a:extLst>
              <a:ext uri="{FF2B5EF4-FFF2-40B4-BE49-F238E27FC236}">
                <a16:creationId xmlns:a16="http://schemas.microsoft.com/office/drawing/2014/main" id="{E7410B45-0514-2BD3-2803-DB7CC20E5A47}"/>
              </a:ext>
            </a:extLst>
          </xdr:cNvPr>
          <xdr:cNvSpPr txBox="1"/>
        </xdr:nvSpPr>
        <xdr:spPr>
          <a:xfrm>
            <a:off x="12598400" y="26682700"/>
            <a:ext cx="660400" cy="190500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+1.1%</a:t>
            </a:r>
          </a:p>
        </xdr:txBody>
      </xdr:sp>
      <xdr:sp macro="" textlink="">
        <xdr:nvSpPr>
          <xdr:cNvPr id="217" name="dwb_3_0">
            <a:extLst>
              <a:ext uri="{FF2B5EF4-FFF2-40B4-BE49-F238E27FC236}">
                <a16:creationId xmlns:a16="http://schemas.microsoft.com/office/drawing/2014/main" id="{146821A8-68E1-091C-D9CD-DCF2CBFD6F66}"/>
              </a:ext>
            </a:extLst>
          </xdr:cNvPr>
          <xdr:cNvSpPr txBox="1"/>
        </xdr:nvSpPr>
        <xdr:spPr>
          <a:xfrm>
            <a:off x="13728700" y="26682700"/>
            <a:ext cx="698500" cy="1905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-70 bps</a:t>
            </a:r>
          </a:p>
        </xdr:txBody>
      </xdr:sp>
      <xdr:sp macro="" textlink="">
        <xdr:nvSpPr>
          <xdr:cNvPr id="218" name="dwg_3_1">
            <a:extLst>
              <a:ext uri="{FF2B5EF4-FFF2-40B4-BE49-F238E27FC236}">
                <a16:creationId xmlns:a16="http://schemas.microsoft.com/office/drawing/2014/main" id="{E5E17580-9F71-91B8-8D2E-233665E37116}"/>
              </a:ext>
            </a:extLst>
          </xdr:cNvPr>
          <xdr:cNvSpPr txBox="1"/>
        </xdr:nvSpPr>
        <xdr:spPr>
          <a:xfrm>
            <a:off x="12598400" y="28606435"/>
            <a:ext cx="660400" cy="190500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+2.1%</a:t>
            </a:r>
          </a:p>
        </xdr:txBody>
      </xdr:sp>
      <xdr:sp macro="" textlink="">
        <xdr:nvSpPr>
          <xdr:cNvPr id="219" name="dwb_3_1">
            <a:extLst>
              <a:ext uri="{FF2B5EF4-FFF2-40B4-BE49-F238E27FC236}">
                <a16:creationId xmlns:a16="http://schemas.microsoft.com/office/drawing/2014/main" id="{9252A673-8E30-12E0-24B3-6D3831C383FC}"/>
              </a:ext>
            </a:extLst>
          </xdr:cNvPr>
          <xdr:cNvSpPr txBox="1"/>
        </xdr:nvSpPr>
        <xdr:spPr>
          <a:xfrm>
            <a:off x="13728700" y="28606435"/>
            <a:ext cx="698500" cy="1905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-54 bps</a:t>
            </a:r>
          </a:p>
        </xdr:txBody>
      </xdr:sp>
      <xdr:sp macro="" textlink="">
        <xdr:nvSpPr>
          <xdr:cNvPr id="220" name="dwg_3_2">
            <a:extLst>
              <a:ext uri="{FF2B5EF4-FFF2-40B4-BE49-F238E27FC236}">
                <a16:creationId xmlns:a16="http://schemas.microsoft.com/office/drawing/2014/main" id="{B98CF6C1-41CE-C6AE-D531-CFF5703113F2}"/>
              </a:ext>
            </a:extLst>
          </xdr:cNvPr>
          <xdr:cNvSpPr txBox="1"/>
        </xdr:nvSpPr>
        <xdr:spPr>
          <a:xfrm>
            <a:off x="12598400" y="30509372"/>
            <a:ext cx="660400" cy="190500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+1.8%</a:t>
            </a:r>
          </a:p>
        </xdr:txBody>
      </xdr:sp>
      <xdr:sp macro="" textlink="">
        <xdr:nvSpPr>
          <xdr:cNvPr id="221" name="dwb_3_2">
            <a:extLst>
              <a:ext uri="{FF2B5EF4-FFF2-40B4-BE49-F238E27FC236}">
                <a16:creationId xmlns:a16="http://schemas.microsoft.com/office/drawing/2014/main" id="{3A310F8E-E363-2CF3-0C40-B1DF9A385089}"/>
              </a:ext>
            </a:extLst>
          </xdr:cNvPr>
          <xdr:cNvSpPr txBox="1"/>
        </xdr:nvSpPr>
        <xdr:spPr>
          <a:xfrm>
            <a:off x="13728700" y="30509372"/>
            <a:ext cx="698500" cy="1905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-28 bps</a:t>
            </a:r>
          </a:p>
        </xdr:txBody>
      </xdr:sp>
      <xdr:sp macro="" textlink="">
        <xdr:nvSpPr>
          <xdr:cNvPr id="222" name="dwg_3_3">
            <a:extLst>
              <a:ext uri="{FF2B5EF4-FFF2-40B4-BE49-F238E27FC236}">
                <a16:creationId xmlns:a16="http://schemas.microsoft.com/office/drawing/2014/main" id="{2551571D-A8F9-1A53-20E5-16C0F3C4ED6A}"/>
              </a:ext>
            </a:extLst>
          </xdr:cNvPr>
          <xdr:cNvSpPr txBox="1"/>
        </xdr:nvSpPr>
        <xdr:spPr>
          <a:xfrm>
            <a:off x="12598400" y="31412182"/>
            <a:ext cx="660400" cy="190500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+7.8%</a:t>
            </a:r>
          </a:p>
        </xdr:txBody>
      </xdr:sp>
      <xdr:sp macro="" textlink="">
        <xdr:nvSpPr>
          <xdr:cNvPr id="223" name="dwb_3_3">
            <a:extLst>
              <a:ext uri="{FF2B5EF4-FFF2-40B4-BE49-F238E27FC236}">
                <a16:creationId xmlns:a16="http://schemas.microsoft.com/office/drawing/2014/main" id="{73AC8063-EC84-9C76-EDCF-1C4B0463087A}"/>
              </a:ext>
            </a:extLst>
          </xdr:cNvPr>
          <xdr:cNvSpPr txBox="1"/>
        </xdr:nvSpPr>
        <xdr:spPr>
          <a:xfrm>
            <a:off x="13728700" y="31412182"/>
            <a:ext cx="698500" cy="1905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34 bps</a:t>
            </a:r>
          </a:p>
        </xdr:txBody>
      </xdr:sp>
      <xdr:sp macro="" textlink="">
        <xdr:nvSpPr>
          <xdr:cNvPr id="224" name="dwg_3_4">
            <a:extLst>
              <a:ext uri="{FF2B5EF4-FFF2-40B4-BE49-F238E27FC236}">
                <a16:creationId xmlns:a16="http://schemas.microsoft.com/office/drawing/2014/main" id="{82855E73-EB0F-7AC8-4AE5-ED96E42ACE1A}"/>
              </a:ext>
            </a:extLst>
          </xdr:cNvPr>
          <xdr:cNvSpPr txBox="1"/>
        </xdr:nvSpPr>
        <xdr:spPr>
          <a:xfrm>
            <a:off x="12598400" y="33647616"/>
            <a:ext cx="660400" cy="190500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+2.9%</a:t>
            </a:r>
          </a:p>
        </xdr:txBody>
      </xdr:sp>
      <xdr:sp macro="" textlink="">
        <xdr:nvSpPr>
          <xdr:cNvPr id="225" name="dwb_3_4">
            <a:extLst>
              <a:ext uri="{FF2B5EF4-FFF2-40B4-BE49-F238E27FC236}">
                <a16:creationId xmlns:a16="http://schemas.microsoft.com/office/drawing/2014/main" id="{14E031CA-C6A0-45D3-C6F2-8A4DA8C3D9B8}"/>
              </a:ext>
            </a:extLst>
          </xdr:cNvPr>
          <xdr:cNvSpPr txBox="1"/>
        </xdr:nvSpPr>
        <xdr:spPr>
          <a:xfrm>
            <a:off x="13728700" y="33647616"/>
            <a:ext cx="698500" cy="1905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-20 bps</a:t>
            </a:r>
          </a:p>
        </xdr:txBody>
      </xdr:sp>
      <xdr:sp macro="" textlink="">
        <xdr:nvSpPr>
          <xdr:cNvPr id="226" name="dwh_3">
            <a:extLst>
              <a:ext uri="{FF2B5EF4-FFF2-40B4-BE49-F238E27FC236}">
                <a16:creationId xmlns:a16="http://schemas.microsoft.com/office/drawing/2014/main" id="{652A0311-46BE-5B25-68DE-FEDEA3CFD3B0}"/>
              </a:ext>
            </a:extLst>
          </xdr:cNvPr>
          <xdr:cNvSpPr txBox="1"/>
        </xdr:nvSpPr>
        <xdr:spPr>
          <a:xfrm>
            <a:off x="12560300" y="34645600"/>
            <a:ext cx="1905000" cy="3302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t">
            <a:spAutoFit/>
          </a:bodyPr>
          <a:lstStyle/>
          <a:p>
            <a:pPr algn="ctr"/>
            <a:r>
              <a:rPr kumimoji="0" lang="en-US" sz="1500" b="1" i="0" u="none" strike="noStrike" kern="0" cap="none" spc="0" normalizeH="0" baseline="0" noProof="0">
                <a:ln>
                  <a:noFill/>
                </a:ln>
                <a:solidFill>
                  <a:srgbClr val="0284C7"/>
                </a:solidFill>
                <a:effectLst/>
                <a:uLnTx/>
                <a:uFillTx/>
                <a:latin typeface="Aptos Narrow" panose="02110004020202020204"/>
              </a:rPr>
              <a:t>Region</a:t>
            </a:r>
          </a:p>
        </xdr:txBody>
      </xdr:sp>
      <xdr:sp macro="" textlink="">
        <xdr:nvSpPr>
          <xdr:cNvPr id="227" name="dwg_4_0">
            <a:extLst>
              <a:ext uri="{FF2B5EF4-FFF2-40B4-BE49-F238E27FC236}">
                <a16:creationId xmlns:a16="http://schemas.microsoft.com/office/drawing/2014/main" id="{BDF1D6F9-819C-FB5F-F02F-8053FE70A173}"/>
              </a:ext>
            </a:extLst>
          </xdr:cNvPr>
          <xdr:cNvSpPr txBox="1"/>
        </xdr:nvSpPr>
        <xdr:spPr>
          <a:xfrm>
            <a:off x="14503400" y="26682700"/>
            <a:ext cx="660400" cy="190500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-3.0%</a:t>
            </a:r>
          </a:p>
        </xdr:txBody>
      </xdr:sp>
      <xdr:sp macro="" textlink="">
        <xdr:nvSpPr>
          <xdr:cNvPr id="228" name="dwb_4_0">
            <a:extLst>
              <a:ext uri="{FF2B5EF4-FFF2-40B4-BE49-F238E27FC236}">
                <a16:creationId xmlns:a16="http://schemas.microsoft.com/office/drawing/2014/main" id="{C0142FB8-13CA-4C75-4D34-92D39A4587F0}"/>
              </a:ext>
            </a:extLst>
          </xdr:cNvPr>
          <xdr:cNvSpPr txBox="1"/>
        </xdr:nvSpPr>
        <xdr:spPr>
          <a:xfrm>
            <a:off x="15633700" y="26682700"/>
            <a:ext cx="698500" cy="1905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-182 bps</a:t>
            </a:r>
          </a:p>
        </xdr:txBody>
      </xdr:sp>
      <xdr:sp macro="" textlink="">
        <xdr:nvSpPr>
          <xdr:cNvPr id="229" name="dwg_4_1">
            <a:extLst>
              <a:ext uri="{FF2B5EF4-FFF2-40B4-BE49-F238E27FC236}">
                <a16:creationId xmlns:a16="http://schemas.microsoft.com/office/drawing/2014/main" id="{82639B73-E7B4-34AD-9575-08B9567FE333}"/>
              </a:ext>
            </a:extLst>
          </xdr:cNvPr>
          <xdr:cNvSpPr txBox="1"/>
        </xdr:nvSpPr>
        <xdr:spPr>
          <a:xfrm>
            <a:off x="14503400" y="29255716"/>
            <a:ext cx="660400" cy="190500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+12.2%</a:t>
            </a:r>
          </a:p>
        </xdr:txBody>
      </xdr:sp>
      <xdr:sp macro="" textlink="">
        <xdr:nvSpPr>
          <xdr:cNvPr id="230" name="dwb_4_1">
            <a:extLst>
              <a:ext uri="{FF2B5EF4-FFF2-40B4-BE49-F238E27FC236}">
                <a16:creationId xmlns:a16="http://schemas.microsoft.com/office/drawing/2014/main" id="{4CC50649-0E9C-5442-A157-20C543CD82CA}"/>
              </a:ext>
            </a:extLst>
          </xdr:cNvPr>
          <xdr:cNvSpPr txBox="1"/>
        </xdr:nvSpPr>
        <xdr:spPr>
          <a:xfrm>
            <a:off x="15633700" y="29255716"/>
            <a:ext cx="698500" cy="1905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74 bps</a:t>
            </a:r>
          </a:p>
        </xdr:txBody>
      </xdr:sp>
      <xdr:sp macro="" textlink="">
        <xdr:nvSpPr>
          <xdr:cNvPr id="231" name="dwg_4_2">
            <a:extLst>
              <a:ext uri="{FF2B5EF4-FFF2-40B4-BE49-F238E27FC236}">
                <a16:creationId xmlns:a16="http://schemas.microsoft.com/office/drawing/2014/main" id="{6AC32BC5-C126-3196-36C3-EC8730A2AC24}"/>
              </a:ext>
            </a:extLst>
          </xdr:cNvPr>
          <xdr:cNvSpPr txBox="1"/>
        </xdr:nvSpPr>
        <xdr:spPr>
          <a:xfrm>
            <a:off x="14503400" y="30870353"/>
            <a:ext cx="660400" cy="190500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-13.2%</a:t>
            </a:r>
          </a:p>
        </xdr:txBody>
      </xdr:sp>
      <xdr:sp macro="" textlink="">
        <xdr:nvSpPr>
          <xdr:cNvPr id="232" name="dwb_4_2">
            <a:extLst>
              <a:ext uri="{FF2B5EF4-FFF2-40B4-BE49-F238E27FC236}">
                <a16:creationId xmlns:a16="http://schemas.microsoft.com/office/drawing/2014/main" id="{BE3D929D-8A3D-D862-C484-0AC4F82455CB}"/>
              </a:ext>
            </a:extLst>
          </xdr:cNvPr>
          <xdr:cNvSpPr txBox="1"/>
        </xdr:nvSpPr>
        <xdr:spPr>
          <a:xfrm>
            <a:off x="15633700" y="30870353"/>
            <a:ext cx="698500" cy="1905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-254 bps</a:t>
            </a:r>
          </a:p>
        </xdr:txBody>
      </xdr:sp>
      <xdr:sp macro="" textlink="">
        <xdr:nvSpPr>
          <xdr:cNvPr id="233" name="dwg_4_3">
            <a:extLst>
              <a:ext uri="{FF2B5EF4-FFF2-40B4-BE49-F238E27FC236}">
                <a16:creationId xmlns:a16="http://schemas.microsoft.com/office/drawing/2014/main" id="{82AD5DC7-2B5F-40D1-6766-C6B7904B0CBC}"/>
              </a:ext>
            </a:extLst>
          </xdr:cNvPr>
          <xdr:cNvSpPr txBox="1"/>
        </xdr:nvSpPr>
        <xdr:spPr>
          <a:xfrm>
            <a:off x="14503400" y="32347685"/>
            <a:ext cx="660400" cy="190500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ct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+21.4%</a:t>
            </a:r>
          </a:p>
        </xdr:txBody>
      </xdr:sp>
      <xdr:sp macro="" textlink="">
        <xdr:nvSpPr>
          <xdr:cNvPr id="234" name="dwb_4_3">
            <a:extLst>
              <a:ext uri="{FF2B5EF4-FFF2-40B4-BE49-F238E27FC236}">
                <a16:creationId xmlns:a16="http://schemas.microsoft.com/office/drawing/2014/main" id="{4D84E81B-6E20-C21B-E834-C0295F28C7C4}"/>
              </a:ext>
            </a:extLst>
          </xdr:cNvPr>
          <xdr:cNvSpPr txBox="1"/>
        </xdr:nvSpPr>
        <xdr:spPr>
          <a:xfrm>
            <a:off x="15633700" y="32347685"/>
            <a:ext cx="698500" cy="1905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ctr">
            <a:spAutoFit/>
          </a:bodyPr>
          <a:lstStyle/>
          <a:p>
            <a:pPr algn="r"/>
            <a:r>
              <a:rPr kumimoji="0" lang="en-US" sz="8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225 bps</a:t>
            </a:r>
          </a:p>
        </xdr:txBody>
      </xdr:sp>
      <xdr:sp macro="" textlink="">
        <xdr:nvSpPr>
          <xdr:cNvPr id="235" name="dwh_4">
            <a:extLst>
              <a:ext uri="{FF2B5EF4-FFF2-40B4-BE49-F238E27FC236}">
                <a16:creationId xmlns:a16="http://schemas.microsoft.com/office/drawing/2014/main" id="{3FB131DA-1DCB-8E7B-AE27-7DE52CDA6477}"/>
              </a:ext>
            </a:extLst>
          </xdr:cNvPr>
          <xdr:cNvSpPr txBox="1"/>
        </xdr:nvSpPr>
        <xdr:spPr>
          <a:xfrm>
            <a:off x="14465300" y="34645600"/>
            <a:ext cx="1905000" cy="3302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t">
            <a:spAutoFit/>
          </a:bodyPr>
          <a:lstStyle/>
          <a:p>
            <a:pPr algn="ctr"/>
            <a:r>
              <a:rPr kumimoji="0" lang="en-US" sz="1500" b="1" i="0" u="none" strike="noStrike" kern="0" cap="none" spc="0" normalizeH="0" baseline="0" noProof="0">
                <a:ln>
                  <a:noFill/>
                </a:ln>
                <a:solidFill>
                  <a:srgbClr val="0284C7"/>
                </a:solidFill>
                <a:effectLst/>
                <a:uLnTx/>
                <a:uFillTx/>
                <a:latin typeface="Aptos Narrow" panose="02110004020202020204"/>
              </a:rPr>
              <a:t>Packsize</a:t>
            </a:r>
          </a:p>
        </xdr:txBody>
      </xdr:sp>
      <xdr:sp macro="" textlink="">
        <xdr:nvSpPr>
          <xdr:cNvPr id="236" name="dw_title">
            <a:extLst>
              <a:ext uri="{FF2B5EF4-FFF2-40B4-BE49-F238E27FC236}">
                <a16:creationId xmlns:a16="http://schemas.microsoft.com/office/drawing/2014/main" id="{0984F5D1-1D3E-4E8C-3B3D-D9FB668D672B}"/>
              </a:ext>
            </a:extLst>
          </xdr:cNvPr>
          <xdr:cNvSpPr txBox="1"/>
        </xdr:nvSpPr>
        <xdr:spPr>
          <a:xfrm>
            <a:off x="6845300" y="26365200"/>
            <a:ext cx="9525000" cy="254000"/>
          </a:xfrm>
          <a:prstGeom prst="rect">
            <a:avLst/>
          </a:prstGeom>
          <a:noFill/>
          <a:ln>
            <a:noFill/>
          </a:ln>
        </xdr:spPr>
        <xdr:txBody>
          <a:bodyPr vertOverflow="overflow" vert="horz" wrap="square" rtlCol="0" anchor="t">
            <a:spAutoFit/>
          </a:bodyPr>
          <a:lstStyle/>
          <a:p>
            <a:pPr algn="ctr"/>
            <a:r>
              <a:rPr kumimoji="0" lang="en-US" sz="1300" b="1" i="0" u="none" strike="noStrike" kern="0" cap="none" spc="0" normalizeH="0" baseline="0" noProof="0">
                <a:ln>
                  <a:noFill/>
                </a:ln>
                <a:solidFill>
                  <a:srgbClr val="1A1A1A"/>
                </a:solidFill>
                <a:effectLst/>
                <a:uLnTx/>
                <a:uFillTx/>
                <a:latin typeface="Aptos Narrow" panose="02110004020202020204"/>
              </a:rPr>
              <a:t>DW — Columnar Marimekko Decomposition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EA6F9B-128C-4800-9FC4-42FD5BF8E6CF}" name="label_powder" displayName="label_powder" ref="A2:E7" totalsRowShown="0" tableBorderDxfId="3">
  <autoFilter ref="A2:E7" xr:uid="{83EA6F9B-128C-4800-9FC4-42FD5BF8E6CF}"/>
  <tableColumns count="5">
    <tableColumn id="1" xr3:uid="{1C4546F7-3727-4E78-AD00-7576F6E22164}" name="Total TH"/>
    <tableColumn id="2" xr3:uid="{016BB081-13D4-4131-B72E-00B218B224C6}" name="Channel"/>
    <tableColumn id="3" xr3:uid="{6403DA2A-6157-4C41-8D9F-9DBE243C9952}" name="Price"/>
    <tableColumn id="4" xr3:uid="{D324BF34-4270-4035-9944-7B1E8E408FE9}" name="Region"/>
    <tableColumn id="5" xr3:uid="{614CA4C0-9769-4AA7-897B-BE077F41BCEA}" name="Packsize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9AAB7B-0C17-4607-8ACE-A571C73D66FD}" name="label_liquid" displayName="label_liquid" ref="A9:E14" totalsRowShown="0" tableBorderDxfId="2">
  <autoFilter ref="A9:E14" xr:uid="{2B9AAB7B-0C17-4607-8ACE-A571C73D66FD}"/>
  <tableColumns count="5">
    <tableColumn id="1" xr3:uid="{7C9CD7C3-F66D-476D-B752-0B492CA2EB55}" name="Total TH"/>
    <tableColumn id="2" xr3:uid="{90CA10A6-7234-4B84-A49E-93B2BB6A17D6}" name="Channel"/>
    <tableColumn id="3" xr3:uid="{88176497-72AE-4ADD-BC3F-991359CCA2BD}" name="Price"/>
    <tableColumn id="4" xr3:uid="{E687326C-8CAF-4DA5-B560-630B99012D24}" name="Region"/>
    <tableColumn id="5" xr3:uid="{9BFDEE4C-04CB-468D-8708-021797CE6D21}" name="Packsize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6EA59A4-7184-4FD0-99EF-9C0AFC272574}" name="label_fab_en" displayName="label_fab_en" ref="A16:E21" totalsRowShown="0" tableBorderDxfId="1">
  <autoFilter ref="A16:E21" xr:uid="{66EA59A4-7184-4FD0-99EF-9C0AFC272574}"/>
  <tableColumns count="5">
    <tableColumn id="1" xr3:uid="{C9AEB40D-F56B-4DE5-8504-3046653401E1}" name="Total TH"/>
    <tableColumn id="2" xr3:uid="{0E86C497-D9CD-4028-A9C9-E926A8384EEE}" name="Channel"/>
    <tableColumn id="3" xr3:uid="{1F7DDB56-39B0-44FB-8BB5-F27105DB81C6}" name="Price"/>
    <tableColumn id="4" xr3:uid="{C0745020-D083-4B9A-B33F-7221E3BAA5C4}" name="Region"/>
    <tableColumn id="5" xr3:uid="{3031AD39-8DBC-4ED9-86B9-BDB462AAF728}" name="Packsize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8CD179E-9074-4FEE-942C-CCFA8EF2E4A8}" name="label_dish" displayName="label_dish" ref="A23:E28" totalsRowShown="0" tableBorderDxfId="0">
  <autoFilter ref="A23:E28" xr:uid="{B8CD179E-9074-4FEE-942C-CCFA8EF2E4A8}"/>
  <tableColumns count="5">
    <tableColumn id="1" xr3:uid="{75286CF8-7A3B-4EAF-B994-DEF5FC33E1A7}" name="Total TH"/>
    <tableColumn id="2" xr3:uid="{70F909F9-B39A-4D54-8C70-ADE31A516B45}" name="Channel"/>
    <tableColumn id="3" xr3:uid="{AD78038C-095B-448E-99BA-C94910C7DE82}" name="Price"/>
    <tableColumn id="4" xr3:uid="{D15D211E-52BF-4E04-9BA0-5B3E232CB1D7}" name="Region"/>
    <tableColumn id="5" xr3:uid="{FD84178F-9260-4CD1-9189-8862DFB18546}" name="Packsiz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1CDD7-8182-4946-B921-1404842DEE0F}">
  <dimension ref="A2:W28"/>
  <sheetViews>
    <sheetView tabSelected="1" workbookViewId="0">
      <selection activeCell="G2" sqref="G2:K7"/>
    </sheetView>
  </sheetViews>
  <sheetFormatPr defaultRowHeight="14.5" x14ac:dyDescent="0.35"/>
  <sheetData>
    <row r="2" spans="1:23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0</v>
      </c>
      <c r="H2" t="s">
        <v>1</v>
      </c>
      <c r="I2" t="s">
        <v>2</v>
      </c>
      <c r="J2" t="s">
        <v>3</v>
      </c>
      <c r="K2" t="s">
        <v>4</v>
      </c>
      <c r="M2" t="s">
        <v>5</v>
      </c>
      <c r="N2" t="s">
        <v>1</v>
      </c>
      <c r="O2" t="s">
        <v>2</v>
      </c>
      <c r="P2" t="s">
        <v>3</v>
      </c>
      <c r="Q2" t="s">
        <v>4</v>
      </c>
      <c r="S2" t="s">
        <v>5</v>
      </c>
      <c r="T2" t="s">
        <v>1</v>
      </c>
      <c r="U2" t="s">
        <v>2</v>
      </c>
      <c r="V2" t="s">
        <v>3</v>
      </c>
      <c r="W2" t="s">
        <v>4</v>
      </c>
    </row>
    <row r="3" spans="1:23" x14ac:dyDescent="0.35">
      <c r="A3" t="s">
        <v>98</v>
      </c>
      <c r="B3" t="s">
        <v>79</v>
      </c>
      <c r="C3" t="s">
        <v>80</v>
      </c>
      <c r="D3" t="s">
        <v>81</v>
      </c>
      <c r="E3" t="s">
        <v>82</v>
      </c>
      <c r="G3">
        <v>0.51787842033710652</v>
      </c>
      <c r="H3">
        <v>0.11520073891218853</v>
      </c>
      <c r="I3">
        <v>0.22257891835709895</v>
      </c>
      <c r="J3">
        <v>0.10756976380187398</v>
      </c>
      <c r="K3">
        <v>4.2699994816435979E-2</v>
      </c>
      <c r="M3" t="s">
        <v>6</v>
      </c>
      <c r="N3" t="s">
        <v>7</v>
      </c>
      <c r="O3" t="s">
        <v>8</v>
      </c>
      <c r="P3" t="s">
        <v>9</v>
      </c>
      <c r="Q3" t="s">
        <v>10</v>
      </c>
      <c r="S3">
        <v>-3.376956812844345E-2</v>
      </c>
      <c r="T3">
        <v>-0.14699332688635791</v>
      </c>
      <c r="U3">
        <v>-7.5615860182877359E-2</v>
      </c>
      <c r="V3">
        <v>-6.4430566146818857E-2</v>
      </c>
      <c r="W3">
        <v>-0.19016238862053403</v>
      </c>
    </row>
    <row r="4" spans="1:23" x14ac:dyDescent="0.35">
      <c r="B4" t="s">
        <v>83</v>
      </c>
      <c r="C4" t="s">
        <v>84</v>
      </c>
      <c r="D4" t="s">
        <v>85</v>
      </c>
      <c r="E4" t="s">
        <v>86</v>
      </c>
      <c r="H4">
        <v>6.3699980201099779E-3</v>
      </c>
      <c r="I4">
        <v>4.4540325584372022E-2</v>
      </c>
      <c r="J4">
        <v>0.13346583677993312</v>
      </c>
      <c r="K4">
        <v>8.6627067749236286E-2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  <c r="T4">
        <v>0.23859021475939346</v>
      </c>
      <c r="U4">
        <v>-0.15523999442247183</v>
      </c>
      <c r="V4">
        <v>2.3838855133016867E-2</v>
      </c>
      <c r="W4">
        <v>-0.13455768112516742</v>
      </c>
    </row>
    <row r="5" spans="1:23" x14ac:dyDescent="0.35">
      <c r="B5" t="s">
        <v>87</v>
      </c>
      <c r="C5" t="s">
        <v>88</v>
      </c>
      <c r="D5" t="s">
        <v>89</v>
      </c>
      <c r="E5" t="s">
        <v>90</v>
      </c>
      <c r="H5">
        <v>0.20885832166426727</v>
      </c>
      <c r="I5">
        <v>0.24245090844277548</v>
      </c>
      <c r="J5">
        <v>8.0127091740064396E-2</v>
      </c>
      <c r="K5">
        <v>0.14853500459380189</v>
      </c>
      <c r="M5" t="s">
        <v>11</v>
      </c>
      <c r="N5" t="s">
        <v>16</v>
      </c>
      <c r="O5" t="s">
        <v>17</v>
      </c>
      <c r="P5" t="s">
        <v>18</v>
      </c>
      <c r="Q5" t="s">
        <v>19</v>
      </c>
      <c r="T5">
        <v>2.9339501287580561E-2</v>
      </c>
      <c r="U5">
        <v>1.304943980743567E-2</v>
      </c>
      <c r="V5">
        <v>1.9611600339884072E-2</v>
      </c>
      <c r="W5">
        <v>-2.317594936815881E-2</v>
      </c>
    </row>
    <row r="6" spans="1:23" x14ac:dyDescent="0.35">
      <c r="B6" t="s">
        <v>91</v>
      </c>
      <c r="C6" t="s">
        <v>92</v>
      </c>
      <c r="D6" t="s">
        <v>93</v>
      </c>
      <c r="E6" t="s">
        <v>94</v>
      </c>
      <c r="H6">
        <v>0.11460796118970235</v>
      </c>
      <c r="I6">
        <v>8.3082679876881563E-3</v>
      </c>
      <c r="J6">
        <v>0.1459038501357523</v>
      </c>
      <c r="K6">
        <v>0.19869051570271098</v>
      </c>
      <c r="M6" t="s">
        <v>11</v>
      </c>
      <c r="N6" t="s">
        <v>20</v>
      </c>
      <c r="O6" t="s">
        <v>21</v>
      </c>
      <c r="P6" t="s">
        <v>22</v>
      </c>
      <c r="Q6" t="s">
        <v>23</v>
      </c>
      <c r="T6">
        <v>0.14650286850941185</v>
      </c>
      <c r="U6">
        <v>1.6469854965335609</v>
      </c>
      <c r="V6">
        <v>-6.7040066966162604E-2</v>
      </c>
      <c r="W6">
        <v>8.0635720095346253E-2</v>
      </c>
    </row>
    <row r="7" spans="1:23" x14ac:dyDescent="0.35">
      <c r="B7" t="s">
        <v>95</v>
      </c>
      <c r="D7" t="s">
        <v>96</v>
      </c>
      <c r="E7" t="s">
        <v>97</v>
      </c>
      <c r="H7">
        <v>7.2841400550838376E-2</v>
      </c>
      <c r="J7">
        <v>5.0811877879482686E-2</v>
      </c>
      <c r="K7">
        <v>4.1325837040151088E-2</v>
      </c>
      <c r="M7" t="s">
        <v>11</v>
      </c>
      <c r="N7" t="s">
        <v>24</v>
      </c>
      <c r="O7" t="s">
        <v>11</v>
      </c>
      <c r="P7" t="s">
        <v>25</v>
      </c>
      <c r="Q7" t="s">
        <v>26</v>
      </c>
      <c r="T7">
        <v>-0.21600318941341856</v>
      </c>
      <c r="V7">
        <v>-8.72345819450695E-2</v>
      </c>
      <c r="W7">
        <v>-0.12505055230617834</v>
      </c>
    </row>
    <row r="9" spans="1:23" x14ac:dyDescent="0.35">
      <c r="A9" t="s">
        <v>0</v>
      </c>
      <c r="B9" t="s">
        <v>1</v>
      </c>
      <c r="C9" t="s">
        <v>2</v>
      </c>
      <c r="D9" t="s">
        <v>3</v>
      </c>
      <c r="E9" t="s">
        <v>4</v>
      </c>
      <c r="G9" t="s">
        <v>0</v>
      </c>
      <c r="H9" t="s">
        <v>1</v>
      </c>
      <c r="I9" t="s">
        <v>2</v>
      </c>
      <c r="J9" t="s">
        <v>3</v>
      </c>
      <c r="K9" t="s">
        <v>4</v>
      </c>
      <c r="M9" t="s">
        <v>5</v>
      </c>
      <c r="N9" t="s">
        <v>1</v>
      </c>
      <c r="O9" t="s">
        <v>2</v>
      </c>
      <c r="P9" t="s">
        <v>3</v>
      </c>
      <c r="Q9" t="s">
        <v>4</v>
      </c>
      <c r="S9" t="s">
        <v>5</v>
      </c>
      <c r="T9" t="s">
        <v>1</v>
      </c>
      <c r="U9" t="s">
        <v>2</v>
      </c>
      <c r="V9" t="s">
        <v>3</v>
      </c>
      <c r="W9" t="s">
        <v>4</v>
      </c>
    </row>
    <row r="10" spans="1:23" x14ac:dyDescent="0.35">
      <c r="A10" t="s">
        <v>99</v>
      </c>
      <c r="B10" t="s">
        <v>79</v>
      </c>
      <c r="C10" t="s">
        <v>80</v>
      </c>
      <c r="D10" t="s">
        <v>81</v>
      </c>
      <c r="E10" t="s">
        <v>82</v>
      </c>
      <c r="G10">
        <v>0.39367264824068343</v>
      </c>
      <c r="H10">
        <v>0.13971965442247553</v>
      </c>
      <c r="I10">
        <v>0.02</v>
      </c>
      <c r="J10">
        <v>0.14497907312426961</v>
      </c>
      <c r="K10">
        <v>1.3224553861181956E-2</v>
      </c>
      <c r="M10" t="s">
        <v>27</v>
      </c>
      <c r="N10" t="s">
        <v>28</v>
      </c>
      <c r="O10" t="s">
        <v>29</v>
      </c>
      <c r="P10" t="s">
        <v>30</v>
      </c>
      <c r="Q10" t="s">
        <v>31</v>
      </c>
      <c r="S10">
        <v>0.27503667017146594</v>
      </c>
      <c r="T10">
        <v>0.18085306158950454</v>
      </c>
      <c r="U10">
        <v>2.0837461689128309</v>
      </c>
      <c r="V10">
        <v>0.36269720300798713</v>
      </c>
      <c r="W10">
        <v>-0.13511630418571652</v>
      </c>
    </row>
    <row r="11" spans="1:23" x14ac:dyDescent="0.35">
      <c r="B11" t="s">
        <v>83</v>
      </c>
      <c r="C11" t="s">
        <v>84</v>
      </c>
      <c r="D11" t="s">
        <v>85</v>
      </c>
      <c r="E11" t="s">
        <v>86</v>
      </c>
      <c r="H11">
        <v>7.4350913634642678E-3</v>
      </c>
      <c r="I11">
        <v>8.3092677787373795E-2</v>
      </c>
      <c r="J11">
        <v>0.10499789376696243</v>
      </c>
      <c r="K11">
        <v>1.7087705772529597E-2</v>
      </c>
      <c r="M11" t="s">
        <v>11</v>
      </c>
      <c r="N11" t="s">
        <v>32</v>
      </c>
      <c r="O11" t="s">
        <v>33</v>
      </c>
      <c r="P11" t="s">
        <v>18</v>
      </c>
      <c r="Q11" t="s">
        <v>34</v>
      </c>
      <c r="T11">
        <v>0.40367161385450112</v>
      </c>
      <c r="U11">
        <v>-4.2798230190489783E-2</v>
      </c>
      <c r="V11">
        <v>0.29591554750132287</v>
      </c>
      <c r="W11">
        <v>-2.8308905153226149E-2</v>
      </c>
    </row>
    <row r="12" spans="1:23" x14ac:dyDescent="0.35">
      <c r="B12" t="s">
        <v>87</v>
      </c>
      <c r="C12" t="s">
        <v>88</v>
      </c>
      <c r="D12" t="s">
        <v>89</v>
      </c>
      <c r="E12" t="s">
        <v>90</v>
      </c>
      <c r="H12">
        <v>4.4699992833340106E-2</v>
      </c>
      <c r="I12">
        <v>0.28999999999999998</v>
      </c>
      <c r="J12">
        <v>4.2425781252054984E-2</v>
      </c>
      <c r="K12">
        <v>0.18701734373789958</v>
      </c>
      <c r="M12" t="s">
        <v>11</v>
      </c>
      <c r="N12" t="s">
        <v>35</v>
      </c>
      <c r="O12" t="s">
        <v>36</v>
      </c>
      <c r="P12" t="s">
        <v>37</v>
      </c>
      <c r="Q12" t="s">
        <v>38</v>
      </c>
      <c r="T12">
        <v>0.20656130563103625</v>
      </c>
      <c r="U12">
        <v>0.3431469753120977</v>
      </c>
      <c r="V12">
        <v>0.32767861945909438</v>
      </c>
      <c r="W12">
        <v>0.39360677023553059</v>
      </c>
    </row>
    <row r="13" spans="1:23" x14ac:dyDescent="0.35">
      <c r="B13" t="s">
        <v>91</v>
      </c>
      <c r="C13" t="s">
        <v>92</v>
      </c>
      <c r="D13" t="s">
        <v>93</v>
      </c>
      <c r="E13" t="s">
        <v>94</v>
      </c>
      <c r="H13">
        <v>8.9555564080933986E-2</v>
      </c>
      <c r="I13">
        <v>0</v>
      </c>
      <c r="J13">
        <v>6.5997762105723501E-2</v>
      </c>
      <c r="K13">
        <v>0.17578255184245589</v>
      </c>
      <c r="M13" t="s">
        <v>11</v>
      </c>
      <c r="N13" t="s">
        <v>39</v>
      </c>
      <c r="O13" t="s">
        <v>40</v>
      </c>
      <c r="P13" t="s">
        <v>41</v>
      </c>
      <c r="Q13" t="s">
        <v>42</v>
      </c>
      <c r="T13">
        <v>0.36059292133067333</v>
      </c>
      <c r="U13">
        <v>-1</v>
      </c>
      <c r="V13">
        <v>0.33287925769559501</v>
      </c>
      <c r="W13">
        <v>0.38031716620723754</v>
      </c>
    </row>
    <row r="14" spans="1:23" x14ac:dyDescent="0.35">
      <c r="B14" t="s">
        <v>95</v>
      </c>
      <c r="D14" t="s">
        <v>96</v>
      </c>
      <c r="E14" t="s">
        <v>97</v>
      </c>
      <c r="H14">
        <v>0.11226234632683076</v>
      </c>
      <c r="J14">
        <v>3.5272137991672906E-2</v>
      </c>
      <c r="K14">
        <v>5.6049230796697744E-4</v>
      </c>
      <c r="M14" t="s">
        <v>11</v>
      </c>
      <c r="N14" t="s">
        <v>43</v>
      </c>
      <c r="O14" t="s">
        <v>11</v>
      </c>
      <c r="P14" t="s">
        <v>44</v>
      </c>
      <c r="Q14" t="s">
        <v>40</v>
      </c>
      <c r="T14">
        <v>0.64194711525190784</v>
      </c>
      <c r="V14">
        <v>0.35796565280915393</v>
      </c>
      <c r="W14">
        <v>0.28669916057405875</v>
      </c>
    </row>
    <row r="16" spans="1:23" x14ac:dyDescent="0.35">
      <c r="A16" t="s">
        <v>0</v>
      </c>
      <c r="B16" t="s">
        <v>1</v>
      </c>
      <c r="C16" t="s">
        <v>2</v>
      </c>
      <c r="D16" t="s">
        <v>3</v>
      </c>
      <c r="E16" t="s">
        <v>4</v>
      </c>
      <c r="G16" t="s">
        <v>0</v>
      </c>
      <c r="H16" t="s">
        <v>1</v>
      </c>
      <c r="I16" t="s">
        <v>2</v>
      </c>
      <c r="J16" t="s">
        <v>3</v>
      </c>
      <c r="K16" t="s">
        <v>4</v>
      </c>
      <c r="M16" t="s">
        <v>5</v>
      </c>
      <c r="N16" t="s">
        <v>1</v>
      </c>
      <c r="O16" t="s">
        <v>2</v>
      </c>
      <c r="P16" t="s">
        <v>3</v>
      </c>
      <c r="Q16" t="s">
        <v>4</v>
      </c>
      <c r="S16" t="s">
        <v>5</v>
      </c>
      <c r="T16" t="s">
        <v>1</v>
      </c>
      <c r="U16" t="s">
        <v>2</v>
      </c>
      <c r="V16" t="s">
        <v>3</v>
      </c>
      <c r="W16" t="s">
        <v>4</v>
      </c>
    </row>
    <row r="17" spans="1:23" x14ac:dyDescent="0.35">
      <c r="A17" t="s">
        <v>100</v>
      </c>
      <c r="B17" t="s">
        <v>79</v>
      </c>
      <c r="C17" t="s">
        <v>80</v>
      </c>
      <c r="D17" t="s">
        <v>81</v>
      </c>
      <c r="E17" t="s">
        <v>82</v>
      </c>
      <c r="G17">
        <v>0.14301828311901507</v>
      </c>
      <c r="H17">
        <v>4.9774059451727193E-2</v>
      </c>
      <c r="J17">
        <v>4.6661037854068048E-2</v>
      </c>
      <c r="K17">
        <v>1.5680976609418057E-2</v>
      </c>
      <c r="M17" t="s">
        <v>45</v>
      </c>
      <c r="N17" t="s">
        <v>46</v>
      </c>
      <c r="O17" t="s">
        <v>47</v>
      </c>
      <c r="P17" t="s">
        <v>12</v>
      </c>
      <c r="Q17" t="s">
        <v>48</v>
      </c>
      <c r="S17">
        <v>0.12792494859320858</v>
      </c>
      <c r="T17">
        <v>0.29863890912270907</v>
      </c>
      <c r="U17">
        <v>-0.85537963081382962</v>
      </c>
      <c r="V17">
        <v>0.12460977165484288</v>
      </c>
      <c r="W17">
        <v>-0.22649364034066344</v>
      </c>
    </row>
    <row r="18" spans="1:23" x14ac:dyDescent="0.35">
      <c r="B18" t="s">
        <v>83</v>
      </c>
      <c r="C18" t="s">
        <v>84</v>
      </c>
      <c r="D18" t="s">
        <v>85</v>
      </c>
      <c r="E18" t="s">
        <v>86</v>
      </c>
      <c r="I18">
        <v>0.123</v>
      </c>
      <c r="J18">
        <v>4.220720963296231E-2</v>
      </c>
      <c r="M18" t="s">
        <v>11</v>
      </c>
      <c r="N18" t="s">
        <v>49</v>
      </c>
      <c r="O18" t="s">
        <v>50</v>
      </c>
      <c r="P18" t="s">
        <v>51</v>
      </c>
      <c r="Q18" t="s">
        <v>52</v>
      </c>
      <c r="T18">
        <v>0.40017390448729206</v>
      </c>
      <c r="U18">
        <v>0.424338560735674</v>
      </c>
      <c r="V18">
        <v>0.17862988956366155</v>
      </c>
      <c r="W18">
        <v>-0.79275633486257024</v>
      </c>
    </row>
    <row r="19" spans="1:23" x14ac:dyDescent="0.35">
      <c r="B19" t="s">
        <v>87</v>
      </c>
      <c r="C19" t="s">
        <v>88</v>
      </c>
      <c r="D19" t="s">
        <v>89</v>
      </c>
      <c r="E19" t="s">
        <v>90</v>
      </c>
      <c r="H19">
        <v>2.475974854191771E-2</v>
      </c>
      <c r="I19">
        <v>0.02</v>
      </c>
      <c r="J19">
        <v>1.5791583596778354E-2</v>
      </c>
      <c r="K19">
        <v>0.08</v>
      </c>
      <c r="M19" t="s">
        <v>11</v>
      </c>
      <c r="N19" t="s">
        <v>53</v>
      </c>
      <c r="O19" t="s">
        <v>54</v>
      </c>
      <c r="P19" t="s">
        <v>55</v>
      </c>
      <c r="Q19" t="s">
        <v>56</v>
      </c>
      <c r="T19">
        <v>1.8240480651653845E-2</v>
      </c>
      <c r="U19">
        <v>-8.5769450534285196E-2</v>
      </c>
      <c r="V19">
        <v>4.5176200271348277E-2</v>
      </c>
      <c r="W19">
        <v>9.523052020335232E-2</v>
      </c>
    </row>
    <row r="20" spans="1:23" x14ac:dyDescent="0.35">
      <c r="B20" t="s">
        <v>91</v>
      </c>
      <c r="C20" t="s">
        <v>92</v>
      </c>
      <c r="D20" t="s">
        <v>93</v>
      </c>
      <c r="E20" t="s">
        <v>94</v>
      </c>
      <c r="H20">
        <v>2.8500000000000001E-2</v>
      </c>
      <c r="J20">
        <v>2.5993493302898536E-2</v>
      </c>
      <c r="K20">
        <v>4.7E-2</v>
      </c>
      <c r="M20" t="s">
        <v>11</v>
      </c>
      <c r="N20" t="s">
        <v>57</v>
      </c>
      <c r="O20" t="s">
        <v>58</v>
      </c>
      <c r="P20" t="s">
        <v>19</v>
      </c>
      <c r="Q20" t="s">
        <v>59</v>
      </c>
      <c r="T20">
        <v>0.22587844538678326</v>
      </c>
      <c r="U20">
        <v>-0.38776860609029129</v>
      </c>
      <c r="V20">
        <v>0.10927052637958545</v>
      </c>
      <c r="W20">
        <v>0.65422605283273016</v>
      </c>
    </row>
    <row r="21" spans="1:23" x14ac:dyDescent="0.35">
      <c r="B21" t="s">
        <v>95</v>
      </c>
      <c r="D21" t="s">
        <v>96</v>
      </c>
      <c r="E21" t="s">
        <v>97</v>
      </c>
      <c r="H21">
        <v>0.04</v>
      </c>
      <c r="J21">
        <v>1.2364958732307835E-2</v>
      </c>
      <c r="M21" t="s">
        <v>11</v>
      </c>
      <c r="N21" t="s">
        <v>52</v>
      </c>
      <c r="O21" t="s">
        <v>11</v>
      </c>
      <c r="P21" t="s">
        <v>19</v>
      </c>
      <c r="Q21" t="s">
        <v>60</v>
      </c>
      <c r="T21">
        <v>-4.2630634365630748E-2</v>
      </c>
      <c r="V21">
        <v>0.12876172712226563</v>
      </c>
      <c r="W21">
        <v>-5.3766533083082435E-2</v>
      </c>
    </row>
    <row r="23" spans="1:23" x14ac:dyDescent="0.35">
      <c r="A23" t="s">
        <v>0</v>
      </c>
      <c r="B23" t="s">
        <v>1</v>
      </c>
      <c r="C23" t="s">
        <v>2</v>
      </c>
      <c r="D23" t="s">
        <v>3</v>
      </c>
      <c r="E23" t="s">
        <v>4</v>
      </c>
      <c r="G23" t="s">
        <v>0</v>
      </c>
      <c r="H23" t="s">
        <v>1</v>
      </c>
      <c r="I23" t="s">
        <v>2</v>
      </c>
      <c r="J23" t="s">
        <v>3</v>
      </c>
      <c r="K23" t="s">
        <v>4</v>
      </c>
      <c r="M23" t="s">
        <v>5</v>
      </c>
      <c r="N23" t="s">
        <v>1</v>
      </c>
      <c r="O23" t="s">
        <v>2</v>
      </c>
      <c r="P23" t="s">
        <v>3</v>
      </c>
      <c r="Q23" t="s">
        <v>4</v>
      </c>
      <c r="S23" t="s">
        <v>5</v>
      </c>
      <c r="T23" t="s">
        <v>1</v>
      </c>
      <c r="U23" t="s">
        <v>2</v>
      </c>
      <c r="V23" t="s">
        <v>3</v>
      </c>
      <c r="W23" t="s">
        <v>4</v>
      </c>
    </row>
    <row r="24" spans="1:23" x14ac:dyDescent="0.35">
      <c r="A24" t="s">
        <v>101</v>
      </c>
      <c r="B24" t="s">
        <v>79</v>
      </c>
      <c r="C24" t="s">
        <v>80</v>
      </c>
      <c r="D24" t="s">
        <v>81</v>
      </c>
      <c r="E24" t="s">
        <v>82</v>
      </c>
      <c r="G24">
        <v>0.62101443534875422</v>
      </c>
      <c r="H24">
        <v>0.16633831280482414</v>
      </c>
      <c r="I24">
        <v>0.52984993873975217</v>
      </c>
      <c r="J24">
        <v>0.1517230726042324</v>
      </c>
      <c r="K24">
        <v>0.20293123130523621</v>
      </c>
      <c r="M24" t="s">
        <v>61</v>
      </c>
      <c r="N24" t="s">
        <v>62</v>
      </c>
      <c r="O24" t="s">
        <v>63</v>
      </c>
      <c r="P24" t="s">
        <v>64</v>
      </c>
      <c r="Q24" t="s">
        <v>65</v>
      </c>
      <c r="S24">
        <v>3.4473771683392274E-2</v>
      </c>
      <c r="T24">
        <v>-5.7147907952479815E-2</v>
      </c>
      <c r="U24">
        <v>6.0154722519156767E-3</v>
      </c>
      <c r="V24">
        <v>1.0681761862248562E-2</v>
      </c>
      <c r="W24">
        <v>-2.9576373857395755E-2</v>
      </c>
    </row>
    <row r="25" spans="1:23" x14ac:dyDescent="0.35">
      <c r="B25" t="s">
        <v>83</v>
      </c>
      <c r="C25" t="s">
        <v>84</v>
      </c>
      <c r="D25" t="s">
        <v>85</v>
      </c>
      <c r="E25" t="s">
        <v>86</v>
      </c>
      <c r="H25">
        <v>1.4610818471898622E-2</v>
      </c>
      <c r="I25">
        <v>1.9610652796561007E-2</v>
      </c>
      <c r="J25">
        <v>0.15008273865819044</v>
      </c>
      <c r="K25">
        <v>0.12734480337307957</v>
      </c>
      <c r="M25" t="s">
        <v>11</v>
      </c>
      <c r="N25" t="s">
        <v>66</v>
      </c>
      <c r="O25" t="s">
        <v>67</v>
      </c>
      <c r="P25" t="s">
        <v>68</v>
      </c>
      <c r="Q25" t="s">
        <v>69</v>
      </c>
      <c r="T25">
        <v>0.44832951233728369</v>
      </c>
      <c r="U25">
        <v>2.2232613309382647</v>
      </c>
      <c r="V25">
        <v>2.0888919025511266E-2</v>
      </c>
      <c r="W25">
        <v>0.12213868435045327</v>
      </c>
    </row>
    <row r="26" spans="1:23" x14ac:dyDescent="0.35">
      <c r="B26" t="s">
        <v>87</v>
      </c>
      <c r="C26" t="s">
        <v>88</v>
      </c>
      <c r="D26" t="s">
        <v>89</v>
      </c>
      <c r="E26" t="s">
        <v>90</v>
      </c>
      <c r="H26">
        <v>0.1883654816071825</v>
      </c>
      <c r="I26">
        <v>7.1553844080874396E-2</v>
      </c>
      <c r="J26">
        <v>7.1203685140820316E-2</v>
      </c>
      <c r="K26">
        <v>0.11651568234055637</v>
      </c>
      <c r="M26" t="s">
        <v>11</v>
      </c>
      <c r="N26" t="s">
        <v>70</v>
      </c>
      <c r="O26" t="s">
        <v>71</v>
      </c>
      <c r="P26" t="s">
        <v>72</v>
      </c>
      <c r="Q26" t="s">
        <v>73</v>
      </c>
      <c r="T26">
        <v>1.5573844791902713E-2</v>
      </c>
      <c r="U26">
        <v>5.921950077072502E-2</v>
      </c>
      <c r="V26">
        <v>1.7567677033856866E-2</v>
      </c>
      <c r="W26">
        <v>-0.1316721885131078</v>
      </c>
    </row>
    <row r="27" spans="1:23" x14ac:dyDescent="0.35">
      <c r="B27" t="s">
        <v>91</v>
      </c>
      <c r="C27" t="s">
        <v>92</v>
      </c>
      <c r="D27" t="s">
        <v>93</v>
      </c>
      <c r="E27" t="s">
        <v>94</v>
      </c>
      <c r="H27">
        <v>0.13992112200487514</v>
      </c>
      <c r="I27">
        <v>0</v>
      </c>
      <c r="J27">
        <v>0.17630647294785795</v>
      </c>
      <c r="K27">
        <v>0.17422271548364263</v>
      </c>
      <c r="M27" t="s">
        <v>11</v>
      </c>
      <c r="N27" t="s">
        <v>74</v>
      </c>
      <c r="P27" t="s">
        <v>75</v>
      </c>
      <c r="Q27" t="s">
        <v>76</v>
      </c>
      <c r="T27">
        <v>0.29890230135444495</v>
      </c>
      <c r="V27">
        <v>7.8040866741658332E-2</v>
      </c>
      <c r="W27">
        <v>0.21379921603854402</v>
      </c>
    </row>
    <row r="28" spans="1:23" x14ac:dyDescent="0.35">
      <c r="B28" t="s">
        <v>95</v>
      </c>
      <c r="D28" t="s">
        <v>96</v>
      </c>
      <c r="E28" t="s">
        <v>97</v>
      </c>
      <c r="H28">
        <v>0.11177870045997386</v>
      </c>
      <c r="J28">
        <v>7.1698465997653102E-2</v>
      </c>
      <c r="K28">
        <v>0</v>
      </c>
      <c r="M28" t="s">
        <v>11</v>
      </c>
      <c r="N28" t="s">
        <v>77</v>
      </c>
      <c r="O28" t="s">
        <v>11</v>
      </c>
      <c r="P28" t="s">
        <v>78</v>
      </c>
      <c r="T28">
        <v>-7.3231741007007134E-2</v>
      </c>
      <c r="V28">
        <v>2.9114997498184136E-2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44894-03BC-48A2-A1B8-7596E769201C}">
  <dimension ref="A1:F117"/>
  <sheetViews>
    <sheetView zoomScale="70" zoomScaleNormal="70" workbookViewId="0">
      <selection activeCell="D3" sqref="D3"/>
    </sheetView>
  </sheetViews>
  <sheetFormatPr defaultRowHeight="14.5" x14ac:dyDescent="0.35"/>
  <cols>
    <col min="1" max="1" width="38.36328125" bestFit="1" customWidth="1"/>
  </cols>
  <sheetData>
    <row r="1" spans="1:6" ht="16" x14ac:dyDescent="0.4">
      <c r="A1" s="2" t="s">
        <v>105</v>
      </c>
    </row>
    <row r="2" spans="1:6" x14ac:dyDescent="0.35">
      <c r="A2" s="1" t="s">
        <v>102</v>
      </c>
      <c r="B2" s="1" t="s">
        <v>106</v>
      </c>
      <c r="C2" s="1" t="s">
        <v>107</v>
      </c>
      <c r="D2" s="1" t="s">
        <v>103</v>
      </c>
      <c r="E2" s="1" t="s">
        <v>104</v>
      </c>
      <c r="F2" s="1" t="s">
        <v>108</v>
      </c>
    </row>
    <row r="3" spans="1:6" x14ac:dyDescent="0.35">
      <c r="A3" t="str">
        <f>Sheet1!G2</f>
        <v>Total TH</v>
      </c>
      <c r="B3">
        <v>1</v>
      </c>
      <c r="C3" s="3">
        <f>IFERROR(N(Sheet1!G3)*100,0)</f>
        <v>51.787842033710653</v>
      </c>
      <c r="D3" t="str">
        <f>IF(TRIM(Sheet1!A3)="","",Sheet1!A3)</f>
        <v>Powder</v>
      </c>
      <c r="E3">
        <f>IFERROR(IF(TRIM(Sheet1!M3)="","",VALUE(SUBSTITUTE(SUBSTITUTE(Sheet1!M3," bps",""),",",""))),"")</f>
        <v>-44</v>
      </c>
      <c r="F3" s="3">
        <f>IFERROR(IF(Sheet1!S3="","",N(Sheet1!S3)*100),"")</f>
        <v>-3.376956812844345</v>
      </c>
    </row>
    <row r="4" spans="1:6" x14ac:dyDescent="0.35">
      <c r="A4" t="str">
        <f>Sheet1!G2</f>
        <v>Total TH</v>
      </c>
      <c r="B4">
        <v>2</v>
      </c>
      <c r="C4" s="3">
        <f>IFERROR(N(Sheet1!G4)*100,0)</f>
        <v>0</v>
      </c>
      <c r="D4" t="str">
        <f>IF(TRIM(Sheet1!A4)="","",Sheet1!A4)</f>
        <v/>
      </c>
      <c r="E4" t="str">
        <f>IFERROR(IF(TRIM(Sheet1!M4)="","",VALUE(SUBSTITUTE(SUBSTITUTE(Sheet1!M4," bps",""),",",""))),"")</f>
        <v/>
      </c>
      <c r="F4" s="3" t="str">
        <f>IFERROR(IF(Sheet1!S4="","",N(Sheet1!S4)*100),"")</f>
        <v/>
      </c>
    </row>
    <row r="5" spans="1:6" x14ac:dyDescent="0.35">
      <c r="A5" t="str">
        <f>Sheet1!G2</f>
        <v>Total TH</v>
      </c>
      <c r="B5">
        <v>3</v>
      </c>
      <c r="C5" s="3">
        <f>IFERROR(N(Sheet1!G5)*100,0)</f>
        <v>0</v>
      </c>
      <c r="D5" t="str">
        <f>IF(TRIM(Sheet1!A5)="","",Sheet1!A5)</f>
        <v/>
      </c>
      <c r="E5" t="str">
        <f>IFERROR(IF(TRIM(Sheet1!M5)="","",VALUE(SUBSTITUTE(SUBSTITUTE(Sheet1!M5," bps",""),",",""))),"")</f>
        <v/>
      </c>
      <c r="F5" s="3" t="str">
        <f>IFERROR(IF(Sheet1!S5="","",N(Sheet1!S5)*100),"")</f>
        <v/>
      </c>
    </row>
    <row r="6" spans="1:6" x14ac:dyDescent="0.35">
      <c r="A6" t="str">
        <f>Sheet1!G2</f>
        <v>Total TH</v>
      </c>
      <c r="B6">
        <v>4</v>
      </c>
      <c r="C6" s="3">
        <f>IFERROR(N(Sheet1!G6)*100,0)</f>
        <v>0</v>
      </c>
      <c r="D6" t="str">
        <f>IF(TRIM(Sheet1!A6)="","",Sheet1!A6)</f>
        <v/>
      </c>
      <c r="E6" t="str">
        <f>IFERROR(IF(TRIM(Sheet1!M6)="","",VALUE(SUBSTITUTE(SUBSTITUTE(Sheet1!M6," bps",""),",",""))),"")</f>
        <v/>
      </c>
      <c r="F6" s="3" t="str">
        <f>IFERROR(IF(Sheet1!S6="","",N(Sheet1!S6)*100),"")</f>
        <v/>
      </c>
    </row>
    <row r="7" spans="1:6" x14ac:dyDescent="0.35">
      <c r="A7" t="str">
        <f>Sheet1!G2</f>
        <v>Total TH</v>
      </c>
      <c r="B7">
        <v>5</v>
      </c>
      <c r="C7" s="3">
        <f>IFERROR(N(Sheet1!G7)*100,0)</f>
        <v>0</v>
      </c>
      <c r="D7" t="str">
        <f>IF(TRIM(Sheet1!A7)="","",Sheet1!A7)</f>
        <v/>
      </c>
      <c r="E7" t="str">
        <f>IFERROR(IF(TRIM(Sheet1!M7)="","",VALUE(SUBSTITUTE(SUBSTITUTE(Sheet1!M7," bps",""),",",""))),"")</f>
        <v/>
      </c>
      <c r="F7" s="3" t="str">
        <f>IFERROR(IF(Sheet1!S7="","",N(Sheet1!S7)*100),"")</f>
        <v/>
      </c>
    </row>
    <row r="8" spans="1:6" x14ac:dyDescent="0.35">
      <c r="A8" t="str">
        <f>Sheet1!H2</f>
        <v>Channel</v>
      </c>
      <c r="B8">
        <v>1</v>
      </c>
      <c r="C8" s="3">
        <f>IFERROR(N(Sheet1!H3)*100,0)</f>
        <v>11.520073891218853</v>
      </c>
      <c r="D8" t="str">
        <f>IF(TRIM(Sheet1!B3)="","",Sheet1!B3)</f>
        <v>SH CHAIN</v>
      </c>
      <c r="E8">
        <f>IFERROR(IF(TRIM(Sheet1!N3)="","",VALUE(SUBSTITUTE(SUBSTITUTE(Sheet1!N3," bps",""),",",""))),"")</f>
        <v>-164</v>
      </c>
      <c r="F8" s="3">
        <f>IFERROR(IF(Sheet1!T3="","",N(Sheet1!T3)*100),"")</f>
        <v>-14.699332688635792</v>
      </c>
    </row>
    <row r="9" spans="1:6" x14ac:dyDescent="0.35">
      <c r="A9" t="str">
        <f>Sheet1!H2</f>
        <v>Channel</v>
      </c>
      <c r="B9">
        <v>2</v>
      </c>
      <c r="C9" s="3">
        <f>IFERROR(N(Sheet1!H4)*100,0)</f>
        <v>0.63699980201099782</v>
      </c>
      <c r="D9" t="str">
        <f>IF(TRIM(Sheet1!B4)="","",Sheet1!B4)</f>
        <v>SH Online</v>
      </c>
      <c r="E9">
        <f>IFERROR(IF(TRIM(Sheet1!N4)="","",VALUE(SUBSTITUTE(SUBSTITUTE(Sheet1!N4," bps",""),",",""))),"")</f>
        <v>14</v>
      </c>
      <c r="F9" s="3">
        <f>IFERROR(IF(Sheet1!T4="","",N(Sheet1!T4)*100),"")</f>
        <v>23.859021475939347</v>
      </c>
    </row>
    <row r="10" spans="1:6" x14ac:dyDescent="0.35">
      <c r="A10" t="str">
        <f>Sheet1!H2</f>
        <v>Channel</v>
      </c>
      <c r="B10">
        <v>3</v>
      </c>
      <c r="C10" s="3">
        <f>IFERROR(N(Sheet1!H5)*100,0)</f>
        <v>20.885832166426727</v>
      </c>
      <c r="D10" t="str">
        <f>IF(TRIM(Sheet1!B5)="","",Sheet1!B5)</f>
        <v>OT</v>
      </c>
      <c r="E10">
        <f>IFERROR(IF(TRIM(Sheet1!N5)="","",VALUE(SUBSTITUTE(SUBSTITUTE(Sheet1!N5," bps",""),",",""))),"")</f>
        <v>111</v>
      </c>
      <c r="F10" s="3">
        <f>IFERROR(IF(Sheet1!T5="","",N(Sheet1!T5)*100),"")</f>
        <v>2.9339501287580561</v>
      </c>
    </row>
    <row r="11" spans="1:6" x14ac:dyDescent="0.35">
      <c r="A11" t="str">
        <f>Sheet1!H2</f>
        <v>Channel</v>
      </c>
      <c r="B11">
        <v>4</v>
      </c>
      <c r="C11" s="3">
        <f>IFERROR(N(Sheet1!H6)*100,0)</f>
        <v>11.460796118970235</v>
      </c>
      <c r="D11" t="str">
        <f>IF(TRIM(Sheet1!B6)="","",Sheet1!B6)</f>
        <v>LMT</v>
      </c>
      <c r="E11">
        <f>IFERROR(IF(TRIM(Sheet1!N6)="","",VALUE(SUBSTITUTE(SUBSTITUTE(Sheet1!N6," bps",""),",",""))),"")</f>
        <v>172</v>
      </c>
      <c r="F11" s="3">
        <f>IFERROR(IF(Sheet1!T6="","",N(Sheet1!T6)*100),"")</f>
        <v>14.650286850941185</v>
      </c>
    </row>
    <row r="12" spans="1:6" x14ac:dyDescent="0.35">
      <c r="A12" t="str">
        <f>Sheet1!H2</f>
        <v>Channel</v>
      </c>
      <c r="B12">
        <v>5</v>
      </c>
      <c r="C12" s="3">
        <f>IFERROR(N(Sheet1!H7)*100,0)</f>
        <v>7.2841400550838378</v>
      </c>
      <c r="D12" t="str">
        <f>IF(TRIM(Sheet1!B7)="","",Sheet1!B7)</f>
        <v>CVS</v>
      </c>
      <c r="E12">
        <f>IFERROR(IF(TRIM(Sheet1!N7)="","",VALUE(SUBSTITUTE(SUBSTITUTE(Sheet1!N7," bps",""),",",""))),"")</f>
        <v>-177</v>
      </c>
      <c r="F12" s="3">
        <f>IFERROR(IF(Sheet1!T7="","",N(Sheet1!T7)*100),"")</f>
        <v>-21.600318941341857</v>
      </c>
    </row>
    <row r="13" spans="1:6" x14ac:dyDescent="0.35">
      <c r="A13" t="str">
        <f>Sheet1!I2</f>
        <v>Price</v>
      </c>
      <c r="B13">
        <v>1</v>
      </c>
      <c r="C13" s="3">
        <f>IFERROR(N(Sheet1!I3)*100,0)</f>
        <v>22.257891835709895</v>
      </c>
      <c r="D13" t="str">
        <f>IF(TRIM(Sheet1!C3)="","",Sheet1!C3)</f>
        <v>Tier1</v>
      </c>
      <c r="E13">
        <f>IFERROR(IF(TRIM(Sheet1!O3)="","",VALUE(SUBSTITUTE(SUBSTITUTE(Sheet1!O3," bps",""),",",""))),"")</f>
        <v>-121</v>
      </c>
      <c r="F13" s="3">
        <f>IFERROR(IF(Sheet1!U3="","",N(Sheet1!U3)*100),"")</f>
        <v>-7.5615860182877359</v>
      </c>
    </row>
    <row r="14" spans="1:6" x14ac:dyDescent="0.35">
      <c r="A14" t="str">
        <f>Sheet1!I2</f>
        <v>Price</v>
      </c>
      <c r="B14">
        <v>2</v>
      </c>
      <c r="C14" s="3">
        <f>IFERROR(N(Sheet1!I4)*100,0)</f>
        <v>4.454032558437202</v>
      </c>
      <c r="D14" t="str">
        <f>IF(TRIM(Sheet1!C4)="","",Sheet1!C4)</f>
        <v>Tier2</v>
      </c>
      <c r="E14">
        <f>IFERROR(IF(TRIM(Sheet1!O4)="","",VALUE(SUBSTITUTE(SUBSTITUTE(Sheet1!O4," bps",""),",",""))),"")</f>
        <v>-68</v>
      </c>
      <c r="F14" s="3">
        <f>IFERROR(IF(Sheet1!U4="","",N(Sheet1!U4)*100),"")</f>
        <v>-15.523999442247183</v>
      </c>
    </row>
    <row r="15" spans="1:6" x14ac:dyDescent="0.35">
      <c r="A15" t="str">
        <f>Sheet1!I2</f>
        <v>Price</v>
      </c>
      <c r="B15">
        <v>3</v>
      </c>
      <c r="C15" s="3">
        <f>IFERROR(N(Sheet1!I5)*100,0)</f>
        <v>24.245090844277549</v>
      </c>
      <c r="D15" t="str">
        <f>IF(TRIM(Sheet1!C5)="","",Sheet1!C5)</f>
        <v>Tier3</v>
      </c>
      <c r="E15">
        <f>IFERROR(IF(TRIM(Sheet1!O5)="","",VALUE(SUBSTITUTE(SUBSTITUTE(Sheet1!O5," bps",""),",",""))),"")</f>
        <v>92</v>
      </c>
      <c r="F15" s="3">
        <f>IFERROR(IF(Sheet1!U5="","",N(Sheet1!U5)*100),"")</f>
        <v>1.304943980743567</v>
      </c>
    </row>
    <row r="16" spans="1:6" x14ac:dyDescent="0.35">
      <c r="A16" t="str">
        <f>Sheet1!I2</f>
        <v>Price</v>
      </c>
      <c r="B16">
        <v>4</v>
      </c>
      <c r="C16" s="3">
        <f>IFERROR(N(Sheet1!I6)*100,0)</f>
        <v>0.8308267987688156</v>
      </c>
      <c r="D16" t="str">
        <f>IF(TRIM(Sheet1!C6)="","",Sheet1!C6)</f>
        <v>Tier4</v>
      </c>
      <c r="E16">
        <f>IFERROR(IF(TRIM(Sheet1!O6)="","",VALUE(SUBSTITUTE(SUBSTITUTE(Sheet1!O6," bps",""),",",""))),"")</f>
        <v>52</v>
      </c>
      <c r="F16" s="3">
        <f>IFERROR(IF(Sheet1!U6="","",N(Sheet1!U6)*100),"")</f>
        <v>164.69854965335608</v>
      </c>
    </row>
    <row r="17" spans="1:6" x14ac:dyDescent="0.35">
      <c r="A17" t="str">
        <f>Sheet1!I2</f>
        <v>Price</v>
      </c>
      <c r="B17">
        <v>5</v>
      </c>
      <c r="C17" s="3">
        <f>IFERROR(N(Sheet1!I7)*100,0)</f>
        <v>0</v>
      </c>
      <c r="D17" t="str">
        <f>IF(TRIM(Sheet1!C7)="","",Sheet1!C7)</f>
        <v/>
      </c>
      <c r="E17" t="str">
        <f>IFERROR(IF(TRIM(Sheet1!O7)="","",VALUE(SUBSTITUTE(SUBSTITUTE(Sheet1!O7," bps",""),",",""))),"")</f>
        <v/>
      </c>
      <c r="F17" s="3" t="str">
        <f>IFERROR(IF(Sheet1!U7="","",N(Sheet1!U7)*100),"")</f>
        <v/>
      </c>
    </row>
    <row r="18" spans="1:6" x14ac:dyDescent="0.35">
      <c r="A18" t="str">
        <f>Sheet1!J2</f>
        <v>Region</v>
      </c>
      <c r="B18">
        <v>1</v>
      </c>
      <c r="C18" s="3">
        <f>IFERROR(N(Sheet1!J3)*100,0)</f>
        <v>10.756976380187398</v>
      </c>
      <c r="D18" t="str">
        <f>IF(TRIM(Sheet1!D3)="","",Sheet1!D3)</f>
        <v>GBKK</v>
      </c>
      <c r="E18">
        <f>IFERROR(IF(TRIM(Sheet1!P3)="","",VALUE(SUBSTITUTE(SUBSTITUTE(Sheet1!P3," bps",""),",",""))),"")</f>
        <v>-45</v>
      </c>
      <c r="F18" s="3">
        <f>IFERROR(IF(Sheet1!V3="","",N(Sheet1!V3)*100),"")</f>
        <v>-6.4430566146818862</v>
      </c>
    </row>
    <row r="19" spans="1:6" x14ac:dyDescent="0.35">
      <c r="A19" t="str">
        <f>Sheet1!J2</f>
        <v>Region</v>
      </c>
      <c r="B19">
        <v>2</v>
      </c>
      <c r="C19" s="3">
        <f>IFERROR(N(Sheet1!J4)*100,0)</f>
        <v>13.346583677993312</v>
      </c>
      <c r="D19" t="str">
        <f>IF(TRIM(Sheet1!D4)="","",Sheet1!D4)</f>
        <v>CENTRAL</v>
      </c>
      <c r="E19">
        <f>IFERROR(IF(TRIM(Sheet1!P4)="","",VALUE(SUBSTITUTE(SUBSTITUTE(Sheet1!P4," bps",""),",",""))),"")</f>
        <v>64</v>
      </c>
      <c r="F19" s="3">
        <f>IFERROR(IF(Sheet1!V4="","",N(Sheet1!V4)*100),"")</f>
        <v>2.3838855133016867</v>
      </c>
    </row>
    <row r="20" spans="1:6" x14ac:dyDescent="0.35">
      <c r="A20" t="str">
        <f>Sheet1!J2</f>
        <v>Region</v>
      </c>
      <c r="B20">
        <v>3</v>
      </c>
      <c r="C20" s="3">
        <f>IFERROR(N(Sheet1!J5)*100,0)</f>
        <v>8.0127091740064404</v>
      </c>
      <c r="D20" t="str">
        <f>IF(TRIM(Sheet1!D5)="","",Sheet1!D5)</f>
        <v>NORTH</v>
      </c>
      <c r="E20">
        <f>IFERROR(IF(TRIM(Sheet1!P5)="","",VALUE(SUBSTITUTE(SUBSTITUTE(Sheet1!P5," bps",""),",",""))),"")</f>
        <v>35</v>
      </c>
      <c r="F20" s="3">
        <f>IFERROR(IF(Sheet1!V5="","",N(Sheet1!V5)*100),"")</f>
        <v>1.9611600339884072</v>
      </c>
    </row>
    <row r="21" spans="1:6" x14ac:dyDescent="0.35">
      <c r="A21" t="str">
        <f>Sheet1!J2</f>
        <v>Region</v>
      </c>
      <c r="B21">
        <v>4</v>
      </c>
      <c r="C21" s="3">
        <f>IFERROR(N(Sheet1!J6)*100,0)</f>
        <v>14.590385013575229</v>
      </c>
      <c r="D21" t="str">
        <f>IF(TRIM(Sheet1!D6)="","",Sheet1!D6)</f>
        <v>NORTHEAST</v>
      </c>
      <c r="E21">
        <f>IFERROR(IF(TRIM(Sheet1!P6)="","",VALUE(SUBSTITUTE(SUBSTITUTE(Sheet1!P6," bps",""),",",""))),"")</f>
        <v>-65</v>
      </c>
      <c r="F21" s="3">
        <f>IFERROR(IF(Sheet1!V6="","",N(Sheet1!V6)*100),"")</f>
        <v>-6.7040066966162604</v>
      </c>
    </row>
    <row r="22" spans="1:6" x14ac:dyDescent="0.35">
      <c r="A22" t="str">
        <f>Sheet1!J2</f>
        <v>Region</v>
      </c>
      <c r="B22">
        <v>5</v>
      </c>
      <c r="C22" s="3">
        <f>IFERROR(N(Sheet1!J7)*100,0)</f>
        <v>5.0811877879482683</v>
      </c>
      <c r="D22" t="str">
        <f>IF(TRIM(Sheet1!D7)="","",Sheet1!D7)</f>
        <v>SOUTH</v>
      </c>
      <c r="E22">
        <f>IFERROR(IF(TRIM(Sheet1!P7)="","",VALUE(SUBSTITUTE(SUBSTITUTE(Sheet1!P7," bps",""),",",""))),"")</f>
        <v>-34</v>
      </c>
      <c r="F22" s="3">
        <f>IFERROR(IF(Sheet1!V7="","",N(Sheet1!V7)*100),"")</f>
        <v>-8.72345819450695</v>
      </c>
    </row>
    <row r="23" spans="1:6" x14ac:dyDescent="0.35">
      <c r="A23" t="str">
        <f>Sheet1!K2</f>
        <v>Packsize</v>
      </c>
      <c r="B23">
        <v>1</v>
      </c>
      <c r="C23" s="3">
        <f>IFERROR(N(Sheet1!K3)*100,0)</f>
        <v>4.2699994816435982</v>
      </c>
      <c r="D23" t="str">
        <f>IF(TRIM(Sheet1!E3)="","",Sheet1!E3)</f>
        <v>S</v>
      </c>
      <c r="E23">
        <f>IFERROR(IF(TRIM(Sheet1!Q3)="","",VALUE(SUBSTITUTE(SUBSTITUTE(Sheet1!Q3," bps",""),",",""))),"")</f>
        <v>-87</v>
      </c>
      <c r="F23" s="3">
        <f>IFERROR(IF(Sheet1!W3="","",N(Sheet1!W3)*100),"")</f>
        <v>-19.016238862053402</v>
      </c>
    </row>
    <row r="24" spans="1:6" x14ac:dyDescent="0.35">
      <c r="A24" t="str">
        <f>Sheet1!K2</f>
        <v>Packsize</v>
      </c>
      <c r="B24">
        <v>2</v>
      </c>
      <c r="C24" s="3">
        <f>IFERROR(N(Sheet1!K4)*100,0)</f>
        <v>8.6627067749236293</v>
      </c>
      <c r="D24" t="str">
        <f>IF(TRIM(Sheet1!E4)="","",Sheet1!E4)</f>
        <v>M</v>
      </c>
      <c r="E24">
        <f>IFERROR(IF(TRIM(Sheet1!Q4)="","",VALUE(SUBSTITUTE(SUBSTITUTE(Sheet1!Q4," bps",""),",",""))),"")</f>
        <v>-109</v>
      </c>
      <c r="F24" s="3">
        <f>IFERROR(IF(Sheet1!W4="","",N(Sheet1!W4)*100),"")</f>
        <v>-13.455768112516742</v>
      </c>
    </row>
    <row r="25" spans="1:6" x14ac:dyDescent="0.35">
      <c r="A25" t="str">
        <f>Sheet1!K2</f>
        <v>Packsize</v>
      </c>
      <c r="B25">
        <v>3</v>
      </c>
      <c r="C25" s="3">
        <f>IFERROR(N(Sheet1!K5)*100,0)</f>
        <v>14.853500459380189</v>
      </c>
      <c r="D25" t="str">
        <f>IF(TRIM(Sheet1!E5)="","",Sheet1!E5)</f>
        <v>L</v>
      </c>
      <c r="E25">
        <f>IFERROR(IF(TRIM(Sheet1!Q5)="","",VALUE(SUBSTITUTE(SUBSTITUTE(Sheet1!Q5," bps",""),",",""))),"")</f>
        <v>4</v>
      </c>
      <c r="F25" s="3">
        <f>IFERROR(IF(Sheet1!W5="","",N(Sheet1!W5)*100),"")</f>
        <v>-2.317594936815881</v>
      </c>
    </row>
    <row r="26" spans="1:6" x14ac:dyDescent="0.35">
      <c r="A26" t="str">
        <f>Sheet1!K2</f>
        <v>Packsize</v>
      </c>
      <c r="B26">
        <v>4</v>
      </c>
      <c r="C26" s="3">
        <f>IFERROR(N(Sheet1!K6)*100,0)</f>
        <v>19.869051570271097</v>
      </c>
      <c r="D26" t="str">
        <f>IF(TRIM(Sheet1!E6)="","",Sheet1!E6)</f>
        <v>XL</v>
      </c>
      <c r="E26">
        <f>IFERROR(IF(TRIM(Sheet1!Q6)="","",VALUE(SUBSTITUTE(SUBSTITUTE(Sheet1!Q6," bps",""),",",""))),"")</f>
        <v>195</v>
      </c>
      <c r="F26" s="3">
        <f>IFERROR(IF(Sheet1!W6="","",N(Sheet1!W6)*100),"")</f>
        <v>8.0635720095346244</v>
      </c>
    </row>
    <row r="27" spans="1:6" x14ac:dyDescent="0.35">
      <c r="A27" t="str">
        <f>Sheet1!K2</f>
        <v>Packsize</v>
      </c>
      <c r="B27">
        <v>5</v>
      </c>
      <c r="C27" s="3">
        <f>IFERROR(N(Sheet1!K7)*100,0)</f>
        <v>4.1325837040151088</v>
      </c>
      <c r="D27" t="str">
        <f>IF(TRIM(Sheet1!E7)="","",Sheet1!E7)</f>
        <v>XXL</v>
      </c>
      <c r="E27">
        <f>IFERROR(IF(TRIM(Sheet1!Q7)="","",VALUE(SUBSTITUTE(SUBSTITUTE(Sheet1!Q7," bps",""),",",""))),"")</f>
        <v>-47</v>
      </c>
      <c r="F27" s="3">
        <f>IFERROR(IF(Sheet1!W7="","",N(Sheet1!W7)*100),"")</f>
        <v>-12.505055230617835</v>
      </c>
    </row>
    <row r="31" spans="1:6" ht="16" x14ac:dyDescent="0.4">
      <c r="A31" s="2" t="s">
        <v>109</v>
      </c>
    </row>
    <row r="32" spans="1:6" x14ac:dyDescent="0.35">
      <c r="A32" s="1" t="s">
        <v>102</v>
      </c>
      <c r="B32" s="1" t="s">
        <v>106</v>
      </c>
      <c r="C32" s="1" t="s">
        <v>107</v>
      </c>
      <c r="D32" s="1" t="s">
        <v>103</v>
      </c>
      <c r="E32" s="1" t="s">
        <v>104</v>
      </c>
      <c r="F32" s="1" t="s">
        <v>108</v>
      </c>
    </row>
    <row r="33" spans="1:6" x14ac:dyDescent="0.35">
      <c r="A33" t="str">
        <f>Sheet1!G9</f>
        <v>Total TH</v>
      </c>
      <c r="B33">
        <v>1</v>
      </c>
      <c r="C33" s="3">
        <f>IFERROR(N(Sheet1!G10)*100,0)</f>
        <v>39.367264824068343</v>
      </c>
      <c r="D33" t="str">
        <f>IF(TRIM(Sheet1!A10)="","",Sheet1!A10)</f>
        <v>LIQUID</v>
      </c>
      <c r="E33">
        <f>IFERROR(IF(TRIM(Sheet1!M10)="","",VALUE(SUBSTITUTE(SUBSTITUTE(Sheet1!M10," bps",""),",",""))),"")</f>
        <v>242</v>
      </c>
      <c r="F33" s="3">
        <f>IFERROR(IF(Sheet1!S10="","",N(Sheet1!S10)*100),"")</f>
        <v>27.503667017146594</v>
      </c>
    </row>
    <row r="34" spans="1:6" x14ac:dyDescent="0.35">
      <c r="A34" t="str">
        <f>Sheet1!G9</f>
        <v>Total TH</v>
      </c>
      <c r="B34">
        <v>2</v>
      </c>
      <c r="C34" s="3">
        <f>IFERROR(N(Sheet1!G11)*100,0)</f>
        <v>0</v>
      </c>
      <c r="D34" t="str">
        <f>IF(TRIM(Sheet1!A11)="","",Sheet1!A11)</f>
        <v/>
      </c>
      <c r="E34" t="str">
        <f>IFERROR(IF(TRIM(Sheet1!M11)="","",VALUE(SUBSTITUTE(SUBSTITUTE(Sheet1!M11," bps",""),",",""))),"")</f>
        <v/>
      </c>
      <c r="F34" s="3" t="str">
        <f>IFERROR(IF(Sheet1!S11="","",N(Sheet1!S11)*100),"")</f>
        <v/>
      </c>
    </row>
    <row r="35" spans="1:6" x14ac:dyDescent="0.35">
      <c r="A35" t="str">
        <f>Sheet1!G9</f>
        <v>Total TH</v>
      </c>
      <c r="B35">
        <v>3</v>
      </c>
      <c r="C35" s="3">
        <f>IFERROR(N(Sheet1!G12)*100,0)</f>
        <v>0</v>
      </c>
      <c r="D35" t="str">
        <f>IF(TRIM(Sheet1!A12)="","",Sheet1!A12)</f>
        <v/>
      </c>
      <c r="E35" t="str">
        <f>IFERROR(IF(TRIM(Sheet1!M12)="","",VALUE(SUBSTITUTE(SUBSTITUTE(Sheet1!M12," bps",""),",",""))),"")</f>
        <v/>
      </c>
      <c r="F35" s="3" t="str">
        <f>IFERROR(IF(Sheet1!S12="","",N(Sheet1!S12)*100),"")</f>
        <v/>
      </c>
    </row>
    <row r="36" spans="1:6" x14ac:dyDescent="0.35">
      <c r="A36" t="str">
        <f>Sheet1!G9</f>
        <v>Total TH</v>
      </c>
      <c r="B36">
        <v>4</v>
      </c>
      <c r="C36" s="3">
        <f>IFERROR(N(Sheet1!G13)*100,0)</f>
        <v>0</v>
      </c>
      <c r="D36" t="str">
        <f>IF(TRIM(Sheet1!A13)="","",Sheet1!A13)</f>
        <v/>
      </c>
      <c r="E36" t="str">
        <f>IFERROR(IF(TRIM(Sheet1!M13)="","",VALUE(SUBSTITUTE(SUBSTITUTE(Sheet1!M13," bps",""),",",""))),"")</f>
        <v/>
      </c>
      <c r="F36" s="3" t="str">
        <f>IFERROR(IF(Sheet1!S13="","",N(Sheet1!S13)*100),"")</f>
        <v/>
      </c>
    </row>
    <row r="37" spans="1:6" x14ac:dyDescent="0.35">
      <c r="A37" t="str">
        <f>Sheet1!G9</f>
        <v>Total TH</v>
      </c>
      <c r="B37">
        <v>5</v>
      </c>
      <c r="C37" s="3">
        <f>IFERROR(N(Sheet1!G14)*100,0)</f>
        <v>0</v>
      </c>
      <c r="D37" t="str">
        <f>IF(TRIM(Sheet1!A14)="","",Sheet1!A14)</f>
        <v/>
      </c>
      <c r="E37" t="str">
        <f>IFERROR(IF(TRIM(Sheet1!M14)="","",VALUE(SUBSTITUTE(SUBSTITUTE(Sheet1!M14," bps",""),",",""))),"")</f>
        <v/>
      </c>
      <c r="F37" s="3" t="str">
        <f>IFERROR(IF(Sheet1!S14="","",N(Sheet1!S14)*100),"")</f>
        <v/>
      </c>
    </row>
    <row r="38" spans="1:6" x14ac:dyDescent="0.35">
      <c r="A38" t="str">
        <f>Sheet1!H9</f>
        <v>Channel</v>
      </c>
      <c r="B38">
        <v>1</v>
      </c>
      <c r="C38" s="3">
        <f>IFERROR(N(Sheet1!H10)*100,0)</f>
        <v>13.971965442247553</v>
      </c>
      <c r="D38" t="str">
        <f>IF(TRIM(Sheet1!B10)="","",Sheet1!B10)</f>
        <v>SH CHAIN</v>
      </c>
      <c r="E38">
        <f>IFERROR(IF(TRIM(Sheet1!N10)="","",VALUE(SUBSTITUTE(SUBSTITUTE(Sheet1!N10," bps",""),",",""))),"")</f>
        <v>-85</v>
      </c>
      <c r="F38" s="3">
        <f>IFERROR(IF(Sheet1!T10="","",N(Sheet1!T10)*100),"")</f>
        <v>18.085306158950452</v>
      </c>
    </row>
    <row r="39" spans="1:6" x14ac:dyDescent="0.35">
      <c r="A39" t="str">
        <f>Sheet1!H9</f>
        <v>Channel</v>
      </c>
      <c r="B39">
        <v>2</v>
      </c>
      <c r="C39" s="3">
        <f>IFERROR(N(Sheet1!H11)*100,0)</f>
        <v>0.74350913634642679</v>
      </c>
      <c r="D39" t="str">
        <f>IF(TRIM(Sheet1!B11)="","",Sheet1!B11)</f>
        <v>SH Online</v>
      </c>
      <c r="E39">
        <f>IFERROR(IF(TRIM(Sheet1!N11)="","",VALUE(SUBSTITUTE(SUBSTITUTE(Sheet1!N11," bps",""),",",""))),"")</f>
        <v>8</v>
      </c>
      <c r="F39" s="3">
        <f>IFERROR(IF(Sheet1!T11="","",N(Sheet1!T11)*100),"")</f>
        <v>40.36716138545011</v>
      </c>
    </row>
    <row r="40" spans="1:6" x14ac:dyDescent="0.35">
      <c r="A40" t="str">
        <f>Sheet1!H9</f>
        <v>Channel</v>
      </c>
      <c r="B40">
        <v>3</v>
      </c>
      <c r="C40" s="3">
        <f>IFERROR(N(Sheet1!H12)*100,0)</f>
        <v>4.469999283334011</v>
      </c>
      <c r="D40" t="str">
        <f>IF(TRIM(Sheet1!B12)="","",Sheet1!B12)</f>
        <v>OT</v>
      </c>
      <c r="E40">
        <f>IFERROR(IF(TRIM(Sheet1!N12)="","",VALUE(SUBSTITUTE(SUBSTITUTE(Sheet1!N12," bps",""),",",""))),"")</f>
        <v>-17</v>
      </c>
      <c r="F40" s="3">
        <f>IFERROR(IF(Sheet1!T12="","",N(Sheet1!T12)*100),"")</f>
        <v>20.656130563103623</v>
      </c>
    </row>
    <row r="41" spans="1:6" x14ac:dyDescent="0.35">
      <c r="A41" t="str">
        <f>Sheet1!H9</f>
        <v>Channel</v>
      </c>
      <c r="B41">
        <v>4</v>
      </c>
      <c r="C41" s="3">
        <f>IFERROR(N(Sheet1!H13)*100,0)</f>
        <v>8.9555564080933987</v>
      </c>
      <c r="D41" t="str">
        <f>IF(TRIM(Sheet1!B13)="","",Sheet1!B13)</f>
        <v>LMT</v>
      </c>
      <c r="E41">
        <f>IFERROR(IF(TRIM(Sheet1!N13)="","",VALUE(SUBSTITUTE(SUBSTITUTE(Sheet1!N13," bps",""),",",""))),"")</f>
        <v>71</v>
      </c>
      <c r="F41" s="3">
        <f>IFERROR(IF(Sheet1!T13="","",N(Sheet1!T13)*100),"")</f>
        <v>36.059292133067331</v>
      </c>
    </row>
    <row r="42" spans="1:6" x14ac:dyDescent="0.35">
      <c r="A42" t="str">
        <f>Sheet1!H9</f>
        <v>Channel</v>
      </c>
      <c r="B42">
        <v>5</v>
      </c>
      <c r="C42" s="3">
        <f>IFERROR(N(Sheet1!H14)*100,0)</f>
        <v>11.226234632683076</v>
      </c>
      <c r="D42" t="str">
        <f>IF(TRIM(Sheet1!B14)="","",Sheet1!B14)</f>
        <v>CVS</v>
      </c>
      <c r="E42">
        <f>IFERROR(IF(TRIM(Sheet1!N14)="","",VALUE(SUBSTITUTE(SUBSTITUTE(Sheet1!N14," bps",""),",",""))),"")</f>
        <v>266</v>
      </c>
      <c r="F42" s="3">
        <f>IFERROR(IF(Sheet1!T14="","",N(Sheet1!T14)*100),"")</f>
        <v>64.194711525190783</v>
      </c>
    </row>
    <row r="43" spans="1:6" x14ac:dyDescent="0.35">
      <c r="A43" t="str">
        <f>Sheet1!I9</f>
        <v>Price</v>
      </c>
      <c r="B43">
        <v>1</v>
      </c>
      <c r="C43" s="3">
        <f>IFERROR(N(Sheet1!I10)*100,0)</f>
        <v>2</v>
      </c>
      <c r="D43" t="str">
        <f>IF(TRIM(Sheet1!C10)="","",Sheet1!C10)</f>
        <v>Tier1</v>
      </c>
      <c r="E43">
        <f>IFERROR(IF(TRIM(Sheet1!O10)="","",VALUE(SUBSTITUTE(SUBSTITUTE(Sheet1!O10," bps",""),",",""))),"")</f>
        <v>139</v>
      </c>
      <c r="F43" s="3">
        <f>IFERROR(IF(Sheet1!U10="","",N(Sheet1!U10)*100),"")</f>
        <v>208.3746168912831</v>
      </c>
    </row>
    <row r="44" spans="1:6" x14ac:dyDescent="0.35">
      <c r="A44" t="str">
        <f>Sheet1!I9</f>
        <v>Price</v>
      </c>
      <c r="B44">
        <v>2</v>
      </c>
      <c r="C44" s="3">
        <f>IFERROR(N(Sheet1!I11)*100,0)</f>
        <v>8.3092677787373788</v>
      </c>
      <c r="D44" t="str">
        <f>IF(TRIM(Sheet1!C11)="","",Sheet1!C11)</f>
        <v>Tier2</v>
      </c>
      <c r="E44">
        <f>IFERROR(IF(TRIM(Sheet1!O11)="","",VALUE(SUBSTITUTE(SUBSTITUTE(Sheet1!O11," bps",""),",",""))),"")</f>
        <v>-237</v>
      </c>
      <c r="F44" s="3">
        <f>IFERROR(IF(Sheet1!U11="","",N(Sheet1!U11)*100),"")</f>
        <v>-4.2798230190489779</v>
      </c>
    </row>
    <row r="45" spans="1:6" x14ac:dyDescent="0.35">
      <c r="A45" t="str">
        <f>Sheet1!I9</f>
        <v>Price</v>
      </c>
      <c r="B45">
        <v>3</v>
      </c>
      <c r="C45" s="3">
        <f>IFERROR(N(Sheet1!I12)*100,0)</f>
        <v>28.999999999999996</v>
      </c>
      <c r="D45" t="str">
        <f>IF(TRIM(Sheet1!C12)="","",Sheet1!C12)</f>
        <v>Tier3</v>
      </c>
      <c r="E45">
        <f>IFERROR(IF(TRIM(Sheet1!O12)="","",VALUE(SUBSTITUTE(SUBSTITUTE(Sheet1!O12," bps",""),",",""))),"")</f>
        <v>231</v>
      </c>
      <c r="F45" s="3">
        <f>IFERROR(IF(Sheet1!U12="","",N(Sheet1!U12)*100),"")</f>
        <v>34.314697531209774</v>
      </c>
    </row>
    <row r="46" spans="1:6" x14ac:dyDescent="0.35">
      <c r="A46" t="str">
        <f>Sheet1!I9</f>
        <v>Price</v>
      </c>
      <c r="B46">
        <v>4</v>
      </c>
      <c r="C46" s="3">
        <f>IFERROR(N(Sheet1!I13)*100,0)</f>
        <v>0</v>
      </c>
      <c r="D46" t="str">
        <f>IF(TRIM(Sheet1!C13)="","",Sheet1!C13)</f>
        <v>Tier4</v>
      </c>
      <c r="E46">
        <f>IFERROR(IF(TRIM(Sheet1!O13)="","",VALUE(SUBSTITUTE(SUBSTITUTE(Sheet1!O13," bps",""),",",""))),"")</f>
        <v>0</v>
      </c>
      <c r="F46" s="3">
        <f>IFERROR(IF(Sheet1!U13="","",N(Sheet1!U13)*100),"")</f>
        <v>-100</v>
      </c>
    </row>
    <row r="47" spans="1:6" x14ac:dyDescent="0.35">
      <c r="A47" t="str">
        <f>Sheet1!I9</f>
        <v>Price</v>
      </c>
      <c r="B47">
        <v>5</v>
      </c>
      <c r="C47" s="3">
        <f>IFERROR(N(Sheet1!I14)*100,0)</f>
        <v>0</v>
      </c>
      <c r="D47" t="str">
        <f>IF(TRIM(Sheet1!C14)="","",Sheet1!C14)</f>
        <v/>
      </c>
      <c r="E47" t="str">
        <f>IFERROR(IF(TRIM(Sheet1!O14)="","",VALUE(SUBSTITUTE(SUBSTITUTE(Sheet1!O14," bps",""),",",""))),"")</f>
        <v/>
      </c>
      <c r="F47" s="3" t="str">
        <f>IFERROR(IF(Sheet1!U14="","",N(Sheet1!U14)*100),"")</f>
        <v/>
      </c>
    </row>
    <row r="48" spans="1:6" x14ac:dyDescent="0.35">
      <c r="A48" t="str">
        <f>Sheet1!J9</f>
        <v>Region</v>
      </c>
      <c r="B48">
        <v>1</v>
      </c>
      <c r="C48" s="3">
        <f>IFERROR(N(Sheet1!J10)*100,0)</f>
        <v>14.49790731242696</v>
      </c>
      <c r="D48" t="str">
        <f>IF(TRIM(Sheet1!D10)="","",Sheet1!D10)</f>
        <v>GBKK</v>
      </c>
      <c r="E48">
        <f>IFERROR(IF(TRIM(Sheet1!P10)="","",VALUE(SUBSTITUTE(SUBSTITUTE(Sheet1!P10," bps",""),",",""))),"")</f>
        <v>117</v>
      </c>
      <c r="F48" s="3">
        <f>IFERROR(IF(Sheet1!V10="","",N(Sheet1!V10)*100),"")</f>
        <v>36.26972030079871</v>
      </c>
    </row>
    <row r="49" spans="1:6" x14ac:dyDescent="0.35">
      <c r="A49" t="str">
        <f>Sheet1!J9</f>
        <v>Region</v>
      </c>
      <c r="B49">
        <v>2</v>
      </c>
      <c r="C49" s="3">
        <f>IFERROR(N(Sheet1!J11)*100,0)</f>
        <v>10.499789376696244</v>
      </c>
      <c r="D49" t="str">
        <f>IF(TRIM(Sheet1!D11)="","",Sheet1!D11)</f>
        <v>CENTRAL</v>
      </c>
      <c r="E49">
        <f>IFERROR(IF(TRIM(Sheet1!P11)="","",VALUE(SUBSTITUTE(SUBSTITUTE(Sheet1!P11," bps",""),",",""))),"")</f>
        <v>35</v>
      </c>
      <c r="F49" s="3">
        <f>IFERROR(IF(Sheet1!V11="","",N(Sheet1!V11)*100),"")</f>
        <v>29.591554750132289</v>
      </c>
    </row>
    <row r="50" spans="1:6" x14ac:dyDescent="0.35">
      <c r="A50" t="str">
        <f>Sheet1!J9</f>
        <v>Region</v>
      </c>
      <c r="B50">
        <v>3</v>
      </c>
      <c r="C50" s="3">
        <f>IFERROR(N(Sheet1!J12)*100,0)</f>
        <v>4.2425781252054984</v>
      </c>
      <c r="D50" t="str">
        <f>IF(TRIM(Sheet1!D12)="","",Sheet1!D12)</f>
        <v>NORTH</v>
      </c>
      <c r="E50">
        <f>IFERROR(IF(TRIM(Sheet1!P12)="","",VALUE(SUBSTITUTE(SUBSTITUTE(Sheet1!P12," bps",""),",",""))),"")</f>
        <v>24</v>
      </c>
      <c r="F50" s="3">
        <f>IFERROR(IF(Sheet1!V12="","",N(Sheet1!V12)*100),"")</f>
        <v>32.767861945909438</v>
      </c>
    </row>
    <row r="51" spans="1:6" x14ac:dyDescent="0.35">
      <c r="A51" t="str">
        <f>Sheet1!J9</f>
        <v>Region</v>
      </c>
      <c r="B51">
        <v>4</v>
      </c>
      <c r="C51" s="3">
        <f>IFERROR(N(Sheet1!J13)*100,0)</f>
        <v>6.5997762105723501</v>
      </c>
      <c r="D51" t="str">
        <f>IF(TRIM(Sheet1!D13)="","",Sheet1!D13)</f>
        <v>NORTHEAST</v>
      </c>
      <c r="E51">
        <f>IFERROR(IF(TRIM(Sheet1!P13)="","",VALUE(SUBSTITUTE(SUBSTITUTE(Sheet1!P13," bps",""),",",""))),"")</f>
        <v>40</v>
      </c>
      <c r="F51" s="3">
        <f>IFERROR(IF(Sheet1!V13="","",N(Sheet1!V13)*100),"")</f>
        <v>33.2879257695595</v>
      </c>
    </row>
    <row r="52" spans="1:6" x14ac:dyDescent="0.35">
      <c r="A52" t="str">
        <f>Sheet1!J9</f>
        <v>Region</v>
      </c>
      <c r="B52">
        <v>5</v>
      </c>
      <c r="C52" s="3">
        <f>IFERROR(N(Sheet1!J14)*100,0)</f>
        <v>3.5272137991672907</v>
      </c>
      <c r="D52" t="str">
        <f>IF(TRIM(Sheet1!D14)="","",Sheet1!D14)</f>
        <v>SOUTH</v>
      </c>
      <c r="E52">
        <f>IFERROR(IF(TRIM(Sheet1!P14)="","",VALUE(SUBSTITUTE(SUBSTITUTE(Sheet1!P14," bps",""),",",""))),"")</f>
        <v>27</v>
      </c>
      <c r="F52" s="3">
        <f>IFERROR(IF(Sheet1!V14="","",N(Sheet1!V14)*100),"")</f>
        <v>35.796565280915395</v>
      </c>
    </row>
    <row r="53" spans="1:6" x14ac:dyDescent="0.35">
      <c r="A53" t="str">
        <f>Sheet1!K9</f>
        <v>Packsize</v>
      </c>
      <c r="B53">
        <v>1</v>
      </c>
      <c r="C53" s="3">
        <f>IFERROR(N(Sheet1!K10)*100,0)</f>
        <v>1.3224553861181956</v>
      </c>
      <c r="D53" t="str">
        <f>IF(TRIM(Sheet1!E10)="","",Sheet1!E10)</f>
        <v>S</v>
      </c>
      <c r="E53">
        <f>IFERROR(IF(TRIM(Sheet1!Q10)="","",VALUE(SUBSTITUTE(SUBSTITUTE(Sheet1!Q10," bps",""),",",""))),"")</f>
        <v>-59</v>
      </c>
      <c r="F53" s="3">
        <f>IFERROR(IF(Sheet1!W10="","",N(Sheet1!W10)*100),"")</f>
        <v>-13.511630418571652</v>
      </c>
    </row>
    <row r="54" spans="1:6" x14ac:dyDescent="0.35">
      <c r="A54" t="str">
        <f>Sheet1!K9</f>
        <v>Packsize</v>
      </c>
      <c r="B54">
        <v>2</v>
      </c>
      <c r="C54" s="3">
        <f>IFERROR(N(Sheet1!K11)*100,0)</f>
        <v>1.7087705772529598</v>
      </c>
      <c r="D54" t="str">
        <f>IF(TRIM(Sheet1!E11)="","",Sheet1!E11)</f>
        <v>M</v>
      </c>
      <c r="E54">
        <f>IFERROR(IF(TRIM(Sheet1!Q11)="","",VALUE(SUBSTITUTE(SUBSTITUTE(Sheet1!Q11," bps",""),",",""))),"")</f>
        <v>-49</v>
      </c>
      <c r="F54" s="3">
        <f>IFERROR(IF(Sheet1!W11="","",N(Sheet1!W11)*100),"")</f>
        <v>-2.8308905153226149</v>
      </c>
    </row>
    <row r="55" spans="1:6" x14ac:dyDescent="0.35">
      <c r="A55" t="str">
        <f>Sheet1!K9</f>
        <v>Packsize</v>
      </c>
      <c r="B55">
        <v>3</v>
      </c>
      <c r="C55" s="3">
        <f>IFERROR(N(Sheet1!K12)*100,0)</f>
        <v>18.701734373789957</v>
      </c>
      <c r="D55" t="str">
        <f>IF(TRIM(Sheet1!E12)="","",Sheet1!E12)</f>
        <v>L</v>
      </c>
      <c r="E55">
        <f>IFERROR(IF(TRIM(Sheet1!Q12)="","",VALUE(SUBSTITUTE(SUBSTITUTE(Sheet1!Q12," bps",""),",",""))),"")</f>
        <v>189</v>
      </c>
      <c r="F55" s="3">
        <f>IFERROR(IF(Sheet1!W12="","",N(Sheet1!W12)*100),"")</f>
        <v>39.360677023553059</v>
      </c>
    </row>
    <row r="56" spans="1:6" x14ac:dyDescent="0.35">
      <c r="A56" t="str">
        <f>Sheet1!K9</f>
        <v>Packsize</v>
      </c>
      <c r="B56">
        <v>4</v>
      </c>
      <c r="C56" s="3">
        <f>IFERROR(N(Sheet1!K13)*100,0)</f>
        <v>17.578255184245588</v>
      </c>
      <c r="D56" t="str">
        <f>IF(TRIM(Sheet1!E13)="","",Sheet1!E13)</f>
        <v>XL</v>
      </c>
      <c r="E56">
        <f>IFERROR(IF(TRIM(Sheet1!Q13)="","",VALUE(SUBSTITUTE(SUBSTITUTE(Sheet1!Q13," bps",""),",",""))),"")</f>
        <v>162</v>
      </c>
      <c r="F56" s="3">
        <f>IFERROR(IF(Sheet1!W13="","",N(Sheet1!W13)*100),"")</f>
        <v>38.031716620723756</v>
      </c>
    </row>
    <row r="57" spans="1:6" x14ac:dyDescent="0.35">
      <c r="A57" t="str">
        <f>Sheet1!K9</f>
        <v>Packsize</v>
      </c>
      <c r="B57">
        <v>5</v>
      </c>
      <c r="C57" s="3">
        <f>IFERROR(N(Sheet1!K14)*100,0)</f>
        <v>5.6049230796697741E-2</v>
      </c>
      <c r="D57" t="str">
        <f>IF(TRIM(Sheet1!E14)="","",Sheet1!E14)</f>
        <v>XXL</v>
      </c>
      <c r="E57">
        <f>IFERROR(IF(TRIM(Sheet1!Q14)="","",VALUE(SUBSTITUTE(SUBSTITUTE(Sheet1!Q14," bps",""),",",""))),"")</f>
        <v>0</v>
      </c>
      <c r="F57" s="3">
        <f>IFERROR(IF(Sheet1!W14="","",N(Sheet1!W14)*100),"")</f>
        <v>28.669916057405874</v>
      </c>
    </row>
    <row r="61" spans="1:6" ht="16" x14ac:dyDescent="0.4">
      <c r="A61" s="2" t="s">
        <v>110</v>
      </c>
    </row>
    <row r="62" spans="1:6" x14ac:dyDescent="0.35">
      <c r="A62" s="1" t="s">
        <v>102</v>
      </c>
      <c r="B62" s="1" t="s">
        <v>106</v>
      </c>
      <c r="C62" s="1" t="s">
        <v>107</v>
      </c>
      <c r="D62" s="1" t="s">
        <v>103</v>
      </c>
      <c r="E62" s="1" t="s">
        <v>104</v>
      </c>
      <c r="F62" s="1" t="s">
        <v>108</v>
      </c>
    </row>
    <row r="63" spans="1:6" x14ac:dyDescent="0.35">
      <c r="A63" t="str">
        <f>Sheet1!G16</f>
        <v>Total TH</v>
      </c>
      <c r="B63">
        <v>1</v>
      </c>
      <c r="C63" s="3">
        <f>IFERROR(N(Sheet1!G17)*100,0)</f>
        <v>14.301828311901508</v>
      </c>
      <c r="D63" t="str">
        <f>IF(TRIM(Sheet1!A17)="","",Sheet1!A17)</f>
        <v>FAB ENH</v>
      </c>
      <c r="E63">
        <f>IFERROR(IF(TRIM(Sheet1!M17)="","",VALUE(SUBSTITUTE(SUBSTITUTE(Sheet1!M17," bps",""),",",""))),"")</f>
        <v>47</v>
      </c>
      <c r="F63" s="3">
        <f>IFERROR(IF(Sheet1!S17="","",N(Sheet1!S17)*100),"")</f>
        <v>12.792494859320858</v>
      </c>
    </row>
    <row r="64" spans="1:6" x14ac:dyDescent="0.35">
      <c r="A64" t="str">
        <f>Sheet1!G16</f>
        <v>Total TH</v>
      </c>
      <c r="B64">
        <v>2</v>
      </c>
      <c r="C64" s="3">
        <f>IFERROR(N(Sheet1!G18)*100,0)</f>
        <v>0</v>
      </c>
      <c r="D64" t="str">
        <f>IF(TRIM(Sheet1!A18)="","",Sheet1!A18)</f>
        <v/>
      </c>
      <c r="E64" t="str">
        <f>IFERROR(IF(TRIM(Sheet1!M18)="","",VALUE(SUBSTITUTE(SUBSTITUTE(Sheet1!M18," bps",""),",",""))),"")</f>
        <v/>
      </c>
      <c r="F64" s="3" t="str">
        <f>IFERROR(IF(Sheet1!S18="","",N(Sheet1!S18)*100),"")</f>
        <v/>
      </c>
    </row>
    <row r="65" spans="1:6" x14ac:dyDescent="0.35">
      <c r="A65" t="str">
        <f>Sheet1!G16</f>
        <v>Total TH</v>
      </c>
      <c r="B65">
        <v>3</v>
      </c>
      <c r="C65" s="3">
        <f>IFERROR(N(Sheet1!G19)*100,0)</f>
        <v>0</v>
      </c>
      <c r="D65" t="str">
        <f>IF(TRIM(Sheet1!A19)="","",Sheet1!A19)</f>
        <v/>
      </c>
      <c r="E65" t="str">
        <f>IFERROR(IF(TRIM(Sheet1!M19)="","",VALUE(SUBSTITUTE(SUBSTITUTE(Sheet1!M19," bps",""),",",""))),"")</f>
        <v/>
      </c>
      <c r="F65" s="3" t="str">
        <f>IFERROR(IF(Sheet1!S19="","",N(Sheet1!S19)*100),"")</f>
        <v/>
      </c>
    </row>
    <row r="66" spans="1:6" x14ac:dyDescent="0.35">
      <c r="A66" t="str">
        <f>Sheet1!G16</f>
        <v>Total TH</v>
      </c>
      <c r="B66">
        <v>4</v>
      </c>
      <c r="C66" s="3">
        <f>IFERROR(N(Sheet1!G20)*100,0)</f>
        <v>0</v>
      </c>
      <c r="D66" t="str">
        <f>IF(TRIM(Sheet1!A20)="","",Sheet1!A20)</f>
        <v/>
      </c>
      <c r="E66" t="str">
        <f>IFERROR(IF(TRIM(Sheet1!M20)="","",VALUE(SUBSTITUTE(SUBSTITUTE(Sheet1!M20," bps",""),",",""))),"")</f>
        <v/>
      </c>
      <c r="F66" s="3" t="str">
        <f>IFERROR(IF(Sheet1!S20="","",N(Sheet1!S20)*100),"")</f>
        <v/>
      </c>
    </row>
    <row r="67" spans="1:6" x14ac:dyDescent="0.35">
      <c r="A67" t="str">
        <f>Sheet1!G16</f>
        <v>Total TH</v>
      </c>
      <c r="B67">
        <v>5</v>
      </c>
      <c r="C67" s="3">
        <f>IFERROR(N(Sheet1!G21)*100,0)</f>
        <v>0</v>
      </c>
      <c r="D67" t="str">
        <f>IF(TRIM(Sheet1!A21)="","",Sheet1!A21)</f>
        <v/>
      </c>
      <c r="E67" t="str">
        <f>IFERROR(IF(TRIM(Sheet1!M21)="","",VALUE(SUBSTITUTE(SUBSTITUTE(Sheet1!M21," bps",""),",",""))),"")</f>
        <v/>
      </c>
      <c r="F67" s="3" t="str">
        <f>IFERROR(IF(Sheet1!S21="","",N(Sheet1!S21)*100),"")</f>
        <v/>
      </c>
    </row>
    <row r="68" spans="1:6" x14ac:dyDescent="0.35">
      <c r="A68" t="str">
        <f>Sheet1!H16</f>
        <v>Channel</v>
      </c>
      <c r="B68">
        <v>1</v>
      </c>
      <c r="C68" s="3">
        <f>IFERROR(N(Sheet1!H17)*100,0)</f>
        <v>4.9774059451727197</v>
      </c>
      <c r="D68" t="str">
        <f>IF(TRIM(Sheet1!B17)="","",Sheet1!B17)</f>
        <v>SH CHAIN</v>
      </c>
      <c r="E68">
        <f>IFERROR(IF(TRIM(Sheet1!N17)="","",VALUE(SUBSTITUTE(SUBSTITUTE(Sheet1!N17," bps",""),",",""))),"")</f>
        <v>79</v>
      </c>
      <c r="F68" s="3">
        <f>IFERROR(IF(Sheet1!T17="","",N(Sheet1!T17)*100),"")</f>
        <v>29.863890912270907</v>
      </c>
    </row>
    <row r="69" spans="1:6" x14ac:dyDescent="0.35">
      <c r="A69" t="str">
        <f>Sheet1!H16</f>
        <v>Channel</v>
      </c>
      <c r="B69">
        <v>2</v>
      </c>
      <c r="C69" s="3">
        <f>IFERROR(N(Sheet1!H18)*100,0)</f>
        <v>0</v>
      </c>
      <c r="D69" t="str">
        <f>IF(TRIM(Sheet1!B18)="","",Sheet1!B18)</f>
        <v>SH Online</v>
      </c>
      <c r="E69">
        <f>IFERROR(IF(TRIM(Sheet1!N18)="","",VALUE(SUBSTITUTE(SUBSTITUTE(Sheet1!N18," bps",""),",",""))),"")</f>
        <v>5</v>
      </c>
      <c r="F69" s="3">
        <f>IFERROR(IF(Sheet1!T18="","",N(Sheet1!T18)*100),"")</f>
        <v>40.017390448729209</v>
      </c>
    </row>
    <row r="70" spans="1:6" x14ac:dyDescent="0.35">
      <c r="A70" t="str">
        <f>Sheet1!H16</f>
        <v>Channel</v>
      </c>
      <c r="B70">
        <v>3</v>
      </c>
      <c r="C70" s="3">
        <f>IFERROR(N(Sheet1!H19)*100,0)</f>
        <v>2.475974854191771</v>
      </c>
      <c r="D70" t="str">
        <f>IF(TRIM(Sheet1!B19)="","",Sheet1!B19)</f>
        <v>OT</v>
      </c>
      <c r="E70">
        <f>IFERROR(IF(TRIM(Sheet1!N19)="","",VALUE(SUBSTITUTE(SUBSTITUTE(Sheet1!N19," bps",""),",",""))),"")</f>
        <v>-18</v>
      </c>
      <c r="F70" s="3">
        <f>IFERROR(IF(Sheet1!T19="","",N(Sheet1!T19)*100),"")</f>
        <v>1.8240480651653845</v>
      </c>
    </row>
    <row r="71" spans="1:6" x14ac:dyDescent="0.35">
      <c r="A71" t="str">
        <f>Sheet1!H16</f>
        <v>Channel</v>
      </c>
      <c r="B71">
        <v>4</v>
      </c>
      <c r="C71" s="3">
        <f>IFERROR(N(Sheet1!H20)*100,0)</f>
        <v>2.85</v>
      </c>
      <c r="D71" t="str">
        <f>IF(TRIM(Sheet1!B20)="","",Sheet1!B20)</f>
        <v>LMT</v>
      </c>
      <c r="E71">
        <f>IFERROR(IF(TRIM(Sheet1!N20)="","",VALUE(SUBSTITUTE(SUBSTITUTE(Sheet1!N20," bps",""),",",""))),"")</f>
        <v>32</v>
      </c>
      <c r="F71" s="3">
        <f>IFERROR(IF(Sheet1!T20="","",N(Sheet1!T20)*100),"")</f>
        <v>22.587844538678326</v>
      </c>
    </row>
    <row r="72" spans="1:6" x14ac:dyDescent="0.35">
      <c r="A72" t="str">
        <f>Sheet1!H16</f>
        <v>Channel</v>
      </c>
      <c r="B72">
        <v>5</v>
      </c>
      <c r="C72" s="3">
        <f>IFERROR(N(Sheet1!H21)*100,0)</f>
        <v>4</v>
      </c>
      <c r="D72" t="str">
        <f>IF(TRIM(Sheet1!B21)="","",Sheet1!B21)</f>
        <v>CVS</v>
      </c>
      <c r="E72">
        <f>IFERROR(IF(TRIM(Sheet1!N21)="","",VALUE(SUBSTITUTE(SUBSTITUTE(Sheet1!N21," bps",""),",",""))),"")</f>
        <v>-52</v>
      </c>
      <c r="F72" s="3">
        <f>IFERROR(IF(Sheet1!T21="","",N(Sheet1!T21)*100),"")</f>
        <v>-4.2630634365630744</v>
      </c>
    </row>
    <row r="73" spans="1:6" x14ac:dyDescent="0.35">
      <c r="A73" t="str">
        <f>Sheet1!I16</f>
        <v>Price</v>
      </c>
      <c r="B73">
        <v>1</v>
      </c>
      <c r="C73" s="3">
        <f>IFERROR(N(Sheet1!I17)*100,0)</f>
        <v>0</v>
      </c>
      <c r="D73" t="str">
        <f>IF(TRIM(Sheet1!C17)="","",Sheet1!C17)</f>
        <v>Tier1</v>
      </c>
      <c r="E73">
        <f>IFERROR(IF(TRIM(Sheet1!O17)="","",VALUE(SUBSTITUTE(SUBSTITUTE(Sheet1!O17," bps",""),",",""))),"")</f>
        <v>-173</v>
      </c>
      <c r="F73" s="3">
        <f>IFERROR(IF(Sheet1!U17="","",N(Sheet1!U17)*100),"")</f>
        <v>-85.537963081382955</v>
      </c>
    </row>
    <row r="74" spans="1:6" x14ac:dyDescent="0.35">
      <c r="A74" t="str">
        <f>Sheet1!I16</f>
        <v>Price</v>
      </c>
      <c r="B74">
        <v>2</v>
      </c>
      <c r="C74" s="3">
        <f>IFERROR(N(Sheet1!I18)*100,0)</f>
        <v>12.3</v>
      </c>
      <c r="D74" t="str">
        <f>IF(TRIM(Sheet1!C18)="","",Sheet1!C18)</f>
        <v>Tier2</v>
      </c>
      <c r="E74">
        <f>IFERROR(IF(TRIM(Sheet1!O18)="","",VALUE(SUBSTITUTE(SUBSTITUTE(Sheet1!O18," bps",""),",",""))),"")</f>
        <v>275</v>
      </c>
      <c r="F74" s="3">
        <f>IFERROR(IF(Sheet1!U18="","",N(Sheet1!U18)*100),"")</f>
        <v>42.433856073567398</v>
      </c>
    </row>
    <row r="75" spans="1:6" x14ac:dyDescent="0.35">
      <c r="A75" t="str">
        <f>Sheet1!I16</f>
        <v>Price</v>
      </c>
      <c r="B75">
        <v>3</v>
      </c>
      <c r="C75" s="3">
        <f>IFERROR(N(Sheet1!I19)*100,0)</f>
        <v>2</v>
      </c>
      <c r="D75" t="str">
        <f>IF(TRIM(Sheet1!C19)="","",Sheet1!C19)</f>
        <v>Tier3</v>
      </c>
      <c r="E75">
        <f>IFERROR(IF(TRIM(Sheet1!O19)="","",VALUE(SUBSTITUTE(SUBSTITUTE(Sheet1!O19," bps",""),",",""))),"")</f>
        <v>-41</v>
      </c>
      <c r="F75" s="3">
        <f>IFERROR(IF(Sheet1!U19="","",N(Sheet1!U19)*100),"")</f>
        <v>-8.5769450534285205</v>
      </c>
    </row>
    <row r="76" spans="1:6" x14ac:dyDescent="0.35">
      <c r="A76" t="str">
        <f>Sheet1!I16</f>
        <v>Price</v>
      </c>
      <c r="B76">
        <v>4</v>
      </c>
      <c r="C76" s="3">
        <f>IFERROR(N(Sheet1!I20)*100,0)</f>
        <v>0</v>
      </c>
      <c r="D76" t="str">
        <f>IF(TRIM(Sheet1!C20)="","",Sheet1!C20)</f>
        <v>Tier4</v>
      </c>
      <c r="E76">
        <f>IFERROR(IF(TRIM(Sheet1!O20)="","",VALUE(SUBSTITUTE(SUBSTITUTE(Sheet1!O20," bps",""),",",""))),"")</f>
        <v>-14</v>
      </c>
      <c r="F76" s="3">
        <f>IFERROR(IF(Sheet1!U20="","",N(Sheet1!U20)*100),"")</f>
        <v>-38.776860609029129</v>
      </c>
    </row>
    <row r="77" spans="1:6" x14ac:dyDescent="0.35">
      <c r="A77" t="str">
        <f>Sheet1!I16</f>
        <v>Price</v>
      </c>
      <c r="B77">
        <v>5</v>
      </c>
      <c r="C77" s="3">
        <f>IFERROR(N(Sheet1!I21)*100,0)</f>
        <v>0</v>
      </c>
      <c r="D77" t="str">
        <f>IF(TRIM(Sheet1!C21)="","",Sheet1!C21)</f>
        <v/>
      </c>
      <c r="E77" t="str">
        <f>IFERROR(IF(TRIM(Sheet1!O21)="","",VALUE(SUBSTITUTE(SUBSTITUTE(Sheet1!O21," bps",""),",",""))),"")</f>
        <v/>
      </c>
      <c r="F77" s="3" t="str">
        <f>IFERROR(IF(Sheet1!U21="","",N(Sheet1!U21)*100),"")</f>
        <v/>
      </c>
    </row>
    <row r="78" spans="1:6" x14ac:dyDescent="0.35">
      <c r="A78" t="str">
        <f>Sheet1!J16</f>
        <v>Region</v>
      </c>
      <c r="B78">
        <v>1</v>
      </c>
      <c r="C78" s="3">
        <f>IFERROR(N(Sheet1!J17)*100,0)</f>
        <v>4.666103785406805</v>
      </c>
      <c r="D78" t="str">
        <f>IF(TRIM(Sheet1!D17)="","",Sheet1!D17)</f>
        <v>GBKK</v>
      </c>
      <c r="E78">
        <f>IFERROR(IF(TRIM(Sheet1!P17)="","",VALUE(SUBSTITUTE(SUBSTITUTE(Sheet1!P17," bps",""),",",""))),"")</f>
        <v>14</v>
      </c>
      <c r="F78" s="3">
        <f>IFERROR(IF(Sheet1!V17="","",N(Sheet1!V17)*100),"")</f>
        <v>12.460977165484287</v>
      </c>
    </row>
    <row r="79" spans="1:6" x14ac:dyDescent="0.35">
      <c r="A79" t="str">
        <f>Sheet1!J16</f>
        <v>Region</v>
      </c>
      <c r="B79">
        <v>2</v>
      </c>
      <c r="C79" s="3">
        <f>IFERROR(N(Sheet1!J18)*100,0)</f>
        <v>4.2207209632962313</v>
      </c>
      <c r="D79" t="str">
        <f>IF(TRIM(Sheet1!D18)="","",Sheet1!D18)</f>
        <v>CENTRAL</v>
      </c>
      <c r="E79">
        <f>IFERROR(IF(TRIM(Sheet1!P18)="","",VALUE(SUBSTITUTE(SUBSTITUTE(Sheet1!P18," bps",""),",",""))),"")</f>
        <v>31</v>
      </c>
      <c r="F79" s="3">
        <f>IFERROR(IF(Sheet1!V18="","",N(Sheet1!V18)*100),"")</f>
        <v>17.862988956366156</v>
      </c>
    </row>
    <row r="80" spans="1:6" x14ac:dyDescent="0.35">
      <c r="A80" t="str">
        <f>Sheet1!J16</f>
        <v>Region</v>
      </c>
      <c r="B80">
        <v>3</v>
      </c>
      <c r="C80" s="3">
        <f>IFERROR(N(Sheet1!J19)*100,0)</f>
        <v>1.5791583596778354</v>
      </c>
      <c r="D80" t="str">
        <f>IF(TRIM(Sheet1!D19)="","",Sheet1!D19)</f>
        <v>NORTH</v>
      </c>
      <c r="E80">
        <f>IFERROR(IF(TRIM(Sheet1!P19)="","",VALUE(SUBSTITUTE(SUBSTITUTE(Sheet1!P19," bps",""),",",""))),"")</f>
        <v>-7</v>
      </c>
      <c r="F80" s="3">
        <f>IFERROR(IF(Sheet1!V19="","",N(Sheet1!V19)*100),"")</f>
        <v>4.5176200271348277</v>
      </c>
    </row>
    <row r="81" spans="1:6" x14ac:dyDescent="0.35">
      <c r="A81" t="str">
        <f>Sheet1!J16</f>
        <v>Region</v>
      </c>
      <c r="B81">
        <v>4</v>
      </c>
      <c r="C81" s="3">
        <f>IFERROR(N(Sheet1!J20)*100,0)</f>
        <v>2.5993493302898534</v>
      </c>
      <c r="D81" t="str">
        <f>IF(TRIM(Sheet1!D20)="","",Sheet1!D20)</f>
        <v>NORTHEAST</v>
      </c>
      <c r="E81">
        <f>IFERROR(IF(TRIM(Sheet1!P20)="","",VALUE(SUBSTITUTE(SUBSTITUTE(Sheet1!P20," bps",""),",",""))),"")</f>
        <v>4</v>
      </c>
      <c r="F81" s="3">
        <f>IFERROR(IF(Sheet1!V20="","",N(Sheet1!V20)*100),"")</f>
        <v>10.927052637958546</v>
      </c>
    </row>
    <row r="82" spans="1:6" x14ac:dyDescent="0.35">
      <c r="A82" t="str">
        <f>Sheet1!J16</f>
        <v>Region</v>
      </c>
      <c r="B82">
        <v>5</v>
      </c>
      <c r="C82" s="3">
        <f>IFERROR(N(Sheet1!J21)*100,0)</f>
        <v>1.2364958732307834</v>
      </c>
      <c r="D82" t="str">
        <f>IF(TRIM(Sheet1!D21)="","",Sheet1!D21)</f>
        <v>SOUTH</v>
      </c>
      <c r="E82">
        <f>IFERROR(IF(TRIM(Sheet1!P21)="","",VALUE(SUBSTITUTE(SUBSTITUTE(Sheet1!P21," bps",""),",",""))),"")</f>
        <v>4</v>
      </c>
      <c r="F82" s="3">
        <f>IFERROR(IF(Sheet1!V21="","",N(Sheet1!V21)*100),"")</f>
        <v>12.876172712226563</v>
      </c>
    </row>
    <row r="83" spans="1:6" x14ac:dyDescent="0.35">
      <c r="A83" t="str">
        <f>Sheet1!K16</f>
        <v>Packsize</v>
      </c>
      <c r="B83">
        <v>1</v>
      </c>
      <c r="C83" s="3">
        <f>IFERROR(N(Sheet1!K17)*100,0)</f>
        <v>1.5680976609418056</v>
      </c>
      <c r="D83" t="str">
        <f>IF(TRIM(Sheet1!E17)="","",Sheet1!E17)</f>
        <v>S</v>
      </c>
      <c r="E83">
        <f>IFERROR(IF(TRIM(Sheet1!Q17)="","",VALUE(SUBSTITUTE(SUBSTITUTE(Sheet1!Q17," bps",""),",",""))),"")</f>
        <v>-64</v>
      </c>
      <c r="F83" s="3">
        <f>IFERROR(IF(Sheet1!W17="","",N(Sheet1!W17)*100),"")</f>
        <v>-22.649364034066345</v>
      </c>
    </row>
    <row r="84" spans="1:6" x14ac:dyDescent="0.35">
      <c r="A84" t="str">
        <f>Sheet1!K16</f>
        <v>Packsize</v>
      </c>
      <c r="B84">
        <v>2</v>
      </c>
      <c r="C84" s="3">
        <f>IFERROR(N(Sheet1!K18)*100,0)</f>
        <v>0</v>
      </c>
      <c r="D84" t="str">
        <f>IF(TRIM(Sheet1!E18)="","",Sheet1!E18)</f>
        <v>M</v>
      </c>
      <c r="E84">
        <f>IFERROR(IF(TRIM(Sheet1!Q18)="","",VALUE(SUBSTITUTE(SUBSTITUTE(Sheet1!Q18," bps",""),",",""))),"")</f>
        <v>-52</v>
      </c>
      <c r="F84" s="3">
        <f>IFERROR(IF(Sheet1!W18="","",N(Sheet1!W18)*100),"")</f>
        <v>-79.275633486257021</v>
      </c>
    </row>
    <row r="85" spans="1:6" x14ac:dyDescent="0.35">
      <c r="A85" t="str">
        <f>Sheet1!K16</f>
        <v>Packsize</v>
      </c>
      <c r="B85">
        <v>3</v>
      </c>
      <c r="C85" s="3">
        <f>IFERROR(N(Sheet1!K19)*100,0)</f>
        <v>8</v>
      </c>
      <c r="D85" t="str">
        <f>IF(TRIM(Sheet1!E19)="","",Sheet1!E19)</f>
        <v>L</v>
      </c>
      <c r="E85">
        <f>IFERROR(IF(TRIM(Sheet1!Q19)="","",VALUE(SUBSTITUTE(SUBSTITUTE(Sheet1!Q19," bps",""),",",""))),"")</f>
        <v>3</v>
      </c>
      <c r="F85" s="3">
        <f>IFERROR(IF(Sheet1!W19="","",N(Sheet1!W19)*100),"")</f>
        <v>9.523052020335232</v>
      </c>
    </row>
    <row r="86" spans="1:6" x14ac:dyDescent="0.35">
      <c r="A86" t="str">
        <f>Sheet1!K16</f>
        <v>Packsize</v>
      </c>
      <c r="B86">
        <v>4</v>
      </c>
      <c r="C86" s="3">
        <f>IFERROR(N(Sheet1!K20)*100,0)</f>
        <v>4.7</v>
      </c>
      <c r="D86" t="str">
        <f>IF(TRIM(Sheet1!E20)="","",Sheet1!E20)</f>
        <v>XL</v>
      </c>
      <c r="E86">
        <f>IFERROR(IF(TRIM(Sheet1!Q20)="","",VALUE(SUBSTITUTE(SUBSTITUTE(Sheet1!Q20," bps",""),",",""))),"")</f>
        <v>163</v>
      </c>
      <c r="F86" s="3">
        <f>IFERROR(IF(Sheet1!W20="","",N(Sheet1!W20)*100),"")</f>
        <v>65.422605283273015</v>
      </c>
    </row>
    <row r="87" spans="1:6" x14ac:dyDescent="0.35">
      <c r="A87" t="str">
        <f>Sheet1!K16</f>
        <v>Packsize</v>
      </c>
      <c r="B87">
        <v>5</v>
      </c>
      <c r="C87" s="3">
        <f>IFERROR(N(Sheet1!K21)*100,0)</f>
        <v>0</v>
      </c>
      <c r="D87" t="str">
        <f>IF(TRIM(Sheet1!E21)="","",Sheet1!E21)</f>
        <v>XXL</v>
      </c>
      <c r="E87">
        <f>IFERROR(IF(TRIM(Sheet1!Q21)="","",VALUE(SUBSTITUTE(SUBSTITUTE(Sheet1!Q21," bps",""),",",""))),"")</f>
        <v>-2</v>
      </c>
      <c r="F87" s="3">
        <f>IFERROR(IF(Sheet1!W21="","",N(Sheet1!W21)*100),"")</f>
        <v>-5.376653308308244</v>
      </c>
    </row>
    <row r="91" spans="1:6" ht="16" x14ac:dyDescent="0.4">
      <c r="A91" s="2" t="s">
        <v>111</v>
      </c>
    </row>
    <row r="92" spans="1:6" x14ac:dyDescent="0.35">
      <c r="A92" s="1" t="s">
        <v>102</v>
      </c>
      <c r="B92" s="1" t="s">
        <v>106</v>
      </c>
      <c r="C92" s="1" t="s">
        <v>107</v>
      </c>
      <c r="D92" s="1" t="s">
        <v>103</v>
      </c>
      <c r="E92" s="1" t="s">
        <v>104</v>
      </c>
      <c r="F92" s="1" t="s">
        <v>108</v>
      </c>
    </row>
    <row r="93" spans="1:6" x14ac:dyDescent="0.35">
      <c r="A93" t="str">
        <f>Sheet1!G23</f>
        <v>Total TH</v>
      </c>
      <c r="B93">
        <v>1</v>
      </c>
      <c r="C93" s="3">
        <f>IFERROR(N(Sheet1!G24)*100,0)</f>
        <v>62.101443534875422</v>
      </c>
      <c r="D93" t="str">
        <f>IF(TRIM(Sheet1!A24)="","",Sheet1!A24)</f>
        <v>DW</v>
      </c>
      <c r="E93">
        <f>IFERROR(IF(TRIM(Sheet1!M24)="","",VALUE(SUBSTITUTE(SUBSTITUTE(Sheet1!M24," bps",""),",",""))),"")</f>
        <v>-137</v>
      </c>
      <c r="F93" s="3">
        <f>IFERROR(IF(Sheet1!S24="","",N(Sheet1!S24)*100),"")</f>
        <v>3.4473771683392274</v>
      </c>
    </row>
    <row r="94" spans="1:6" x14ac:dyDescent="0.35">
      <c r="A94" t="str">
        <f>Sheet1!G23</f>
        <v>Total TH</v>
      </c>
      <c r="B94">
        <v>2</v>
      </c>
      <c r="C94" s="3">
        <f>IFERROR(N(Sheet1!G25)*100,0)</f>
        <v>0</v>
      </c>
      <c r="D94" t="str">
        <f>IF(TRIM(Sheet1!A25)="","",Sheet1!A25)</f>
        <v/>
      </c>
      <c r="E94" t="str">
        <f>IFERROR(IF(TRIM(Sheet1!M25)="","",VALUE(SUBSTITUTE(SUBSTITUTE(Sheet1!M25," bps",""),",",""))),"")</f>
        <v/>
      </c>
      <c r="F94" s="3" t="str">
        <f>IFERROR(IF(Sheet1!S25="","",N(Sheet1!S25)*100),"")</f>
        <v/>
      </c>
    </row>
    <row r="95" spans="1:6" x14ac:dyDescent="0.35">
      <c r="A95" t="str">
        <f>Sheet1!G23</f>
        <v>Total TH</v>
      </c>
      <c r="B95">
        <v>3</v>
      </c>
      <c r="C95" s="3">
        <f>IFERROR(N(Sheet1!G26)*100,0)</f>
        <v>0</v>
      </c>
      <c r="D95" t="str">
        <f>IF(TRIM(Sheet1!A26)="","",Sheet1!A26)</f>
        <v/>
      </c>
      <c r="E95" t="str">
        <f>IFERROR(IF(TRIM(Sheet1!M26)="","",VALUE(SUBSTITUTE(SUBSTITUTE(Sheet1!M26," bps",""),",",""))),"")</f>
        <v/>
      </c>
      <c r="F95" s="3" t="str">
        <f>IFERROR(IF(Sheet1!S26="","",N(Sheet1!S26)*100),"")</f>
        <v/>
      </c>
    </row>
    <row r="96" spans="1:6" x14ac:dyDescent="0.35">
      <c r="A96" t="str">
        <f>Sheet1!G23</f>
        <v>Total TH</v>
      </c>
      <c r="B96">
        <v>4</v>
      </c>
      <c r="C96" s="3">
        <f>IFERROR(N(Sheet1!G27)*100,0)</f>
        <v>0</v>
      </c>
      <c r="D96" t="str">
        <f>IF(TRIM(Sheet1!A27)="","",Sheet1!A27)</f>
        <v/>
      </c>
      <c r="E96" t="str">
        <f>IFERROR(IF(TRIM(Sheet1!M27)="","",VALUE(SUBSTITUTE(SUBSTITUTE(Sheet1!M27," bps",""),",",""))),"")</f>
        <v/>
      </c>
      <c r="F96" s="3" t="str">
        <f>IFERROR(IF(Sheet1!S27="","",N(Sheet1!S27)*100),"")</f>
        <v/>
      </c>
    </row>
    <row r="97" spans="1:6" x14ac:dyDescent="0.35">
      <c r="A97" t="str">
        <f>Sheet1!G23</f>
        <v>Total TH</v>
      </c>
      <c r="B97">
        <v>5</v>
      </c>
      <c r="C97" s="3">
        <f>IFERROR(N(Sheet1!G28)*100,0)</f>
        <v>0</v>
      </c>
      <c r="D97" t="str">
        <f>IF(TRIM(Sheet1!A28)="","",Sheet1!A28)</f>
        <v/>
      </c>
      <c r="E97" t="str">
        <f>IFERROR(IF(TRIM(Sheet1!M28)="","",VALUE(SUBSTITUTE(SUBSTITUTE(Sheet1!M28," bps",""),",",""))),"")</f>
        <v/>
      </c>
      <c r="F97" s="3" t="str">
        <f>IFERROR(IF(Sheet1!S28="","",N(Sheet1!S28)*100),"")</f>
        <v/>
      </c>
    </row>
    <row r="98" spans="1:6" x14ac:dyDescent="0.35">
      <c r="A98" t="str">
        <f>Sheet1!H23</f>
        <v>Channel</v>
      </c>
      <c r="B98">
        <v>1</v>
      </c>
      <c r="C98" s="3">
        <f>IFERROR(N(Sheet1!H24)*100,0)</f>
        <v>16.633831280482415</v>
      </c>
      <c r="D98" t="str">
        <f>IF(TRIM(Sheet1!B24)="","",Sheet1!B24)</f>
        <v>SH CHAIN</v>
      </c>
      <c r="E98">
        <f>IFERROR(IF(TRIM(Sheet1!N24)="","",VALUE(SUBSTITUTE(SUBSTITUTE(Sheet1!N24," bps",""),",",""))),"")</f>
        <v>-202</v>
      </c>
      <c r="F98" s="3">
        <f>IFERROR(IF(Sheet1!T24="","",N(Sheet1!T24)*100),"")</f>
        <v>-5.7147907952479819</v>
      </c>
    </row>
    <row r="99" spans="1:6" x14ac:dyDescent="0.35">
      <c r="A99" t="str">
        <f>Sheet1!H23</f>
        <v>Channel</v>
      </c>
      <c r="B99">
        <v>2</v>
      </c>
      <c r="C99" s="3">
        <f>IFERROR(N(Sheet1!H25)*100,0)</f>
        <v>1.4610818471898621</v>
      </c>
      <c r="D99" t="str">
        <f>IF(TRIM(Sheet1!B25)="","",Sheet1!B25)</f>
        <v>SH Online</v>
      </c>
      <c r="E99">
        <f>IFERROR(IF(TRIM(Sheet1!N25)="","",VALUE(SUBSTITUTE(SUBSTITUTE(Sheet1!N25," bps",""),",",""))),"")</f>
        <v>39</v>
      </c>
      <c r="F99" s="3">
        <f>IFERROR(IF(Sheet1!T25="","",N(Sheet1!T25)*100),"")</f>
        <v>44.832951233728366</v>
      </c>
    </row>
    <row r="100" spans="1:6" x14ac:dyDescent="0.35">
      <c r="A100" t="str">
        <f>Sheet1!H23</f>
        <v>Channel</v>
      </c>
      <c r="B100">
        <v>3</v>
      </c>
      <c r="C100" s="3">
        <f>IFERROR(N(Sheet1!H26)*100,0)</f>
        <v>18.836548160718252</v>
      </c>
      <c r="D100" t="str">
        <f>IF(TRIM(Sheet1!B26)="","",Sheet1!B26)</f>
        <v>OT</v>
      </c>
      <c r="E100">
        <f>IFERROR(IF(TRIM(Sheet1!N26)="","",VALUE(SUBSTITUTE(SUBSTITUTE(Sheet1!N26," bps",""),",",""))),"")</f>
        <v>-77</v>
      </c>
      <c r="F100" s="3">
        <f>IFERROR(IF(Sheet1!T26="","",N(Sheet1!T26)*100),"")</f>
        <v>1.5573844791902713</v>
      </c>
    </row>
    <row r="101" spans="1:6" x14ac:dyDescent="0.35">
      <c r="A101" t="str">
        <f>Sheet1!H23</f>
        <v>Channel</v>
      </c>
      <c r="B101">
        <v>4</v>
      </c>
      <c r="C101" s="3">
        <f>IFERROR(N(Sheet1!H27)*100,0)</f>
        <v>13.992112200487513</v>
      </c>
      <c r="D101" t="str">
        <f>IF(TRIM(Sheet1!B27)="","",Sheet1!B27)</f>
        <v>LMT</v>
      </c>
      <c r="E101">
        <f>IFERROR(IF(TRIM(Sheet1!N27)="","",VALUE(SUBSTITUTE(SUBSTITUTE(Sheet1!N27," bps",""),",",""))),"")</f>
        <v>260</v>
      </c>
      <c r="F101" s="3">
        <f>IFERROR(IF(Sheet1!T27="","",N(Sheet1!T27)*100),"")</f>
        <v>29.890230135444497</v>
      </c>
    </row>
    <row r="102" spans="1:6" x14ac:dyDescent="0.35">
      <c r="A102" t="str">
        <f>Sheet1!H23</f>
        <v>Channel</v>
      </c>
      <c r="B102">
        <v>5</v>
      </c>
      <c r="C102" s="3">
        <f>IFERROR(N(Sheet1!H28)*100,0)</f>
        <v>11.177870045997386</v>
      </c>
      <c r="D102" t="str">
        <f>IF(TRIM(Sheet1!B28)="","",Sheet1!B28)</f>
        <v>CVS</v>
      </c>
      <c r="E102">
        <f>IFERROR(IF(TRIM(Sheet1!N28)="","",VALUE(SUBSTITUTE(SUBSTITUTE(Sheet1!N28," bps",""),",",""))),"")</f>
        <v>-157</v>
      </c>
      <c r="F102" s="3">
        <f>IFERROR(IF(Sheet1!T28="","",N(Sheet1!T28)*100),"")</f>
        <v>-7.3231741007007134</v>
      </c>
    </row>
    <row r="103" spans="1:6" x14ac:dyDescent="0.35">
      <c r="A103" t="str">
        <f>Sheet1!I23</f>
        <v>Price</v>
      </c>
      <c r="B103">
        <v>1</v>
      </c>
      <c r="C103" s="3">
        <f>IFERROR(N(Sheet1!I24)*100,0)</f>
        <v>52.984993873975213</v>
      </c>
      <c r="D103" t="str">
        <f>IF(TRIM(Sheet1!C24)="","",Sheet1!C24)</f>
        <v>Tier1</v>
      </c>
      <c r="E103">
        <f>IFERROR(IF(TRIM(Sheet1!O24)="","",VALUE(SUBSTITUTE(SUBSTITUTE(Sheet1!O24," bps",""),",",""))),"")</f>
        <v>-270</v>
      </c>
      <c r="F103" s="3">
        <f>IFERROR(IF(Sheet1!U24="","",N(Sheet1!U24)*100),"")</f>
        <v>0.60154722519156767</v>
      </c>
    </row>
    <row r="104" spans="1:6" x14ac:dyDescent="0.35">
      <c r="A104" t="str">
        <f>Sheet1!I23</f>
        <v>Price</v>
      </c>
      <c r="B104">
        <v>2</v>
      </c>
      <c r="C104" s="3">
        <f>IFERROR(N(Sheet1!I25)*100,0)</f>
        <v>1.9610652796561008</v>
      </c>
      <c r="D104" t="str">
        <f>IF(TRIM(Sheet1!C25)="","",Sheet1!C25)</f>
        <v>Tier2</v>
      </c>
      <c r="E104">
        <f>IFERROR(IF(TRIM(Sheet1!O25)="","",VALUE(SUBSTITUTE(SUBSTITUTE(Sheet1!O25," bps",""),",",""))),"")</f>
        <v>132</v>
      </c>
      <c r="F104" s="3">
        <f>IFERROR(IF(Sheet1!U25="","",N(Sheet1!U25)*100),"")</f>
        <v>222.32613309382648</v>
      </c>
    </row>
    <row r="105" spans="1:6" x14ac:dyDescent="0.35">
      <c r="A105" t="str">
        <f>Sheet1!I23</f>
        <v>Price</v>
      </c>
      <c r="B105">
        <v>3</v>
      </c>
      <c r="C105" s="3">
        <f>IFERROR(N(Sheet1!I26)*100,0)</f>
        <v>7.1553844080874391</v>
      </c>
      <c r="D105" t="str">
        <f>IF(TRIM(Sheet1!C26)="","",Sheet1!C26)</f>
        <v>Tier3</v>
      </c>
      <c r="E105">
        <f>IFERROR(IF(TRIM(Sheet1!O26)="","",VALUE(SUBSTITUTE(SUBSTITUTE(Sheet1!O26," bps",""),",",""))),"")</f>
        <v>1</v>
      </c>
      <c r="F105" s="3">
        <f>IFERROR(IF(Sheet1!U26="","",N(Sheet1!U26)*100),"")</f>
        <v>5.921950077072502</v>
      </c>
    </row>
    <row r="106" spans="1:6" x14ac:dyDescent="0.35">
      <c r="A106" t="str">
        <f>Sheet1!I23</f>
        <v>Price</v>
      </c>
      <c r="B106">
        <v>4</v>
      </c>
      <c r="C106" s="3">
        <f>IFERROR(N(Sheet1!I27)*100,0)</f>
        <v>0</v>
      </c>
      <c r="D106" t="str">
        <f>IF(TRIM(Sheet1!C27)="","",Sheet1!C27)</f>
        <v>Tier4</v>
      </c>
      <c r="E106" t="str">
        <f>IFERROR(IF(TRIM(Sheet1!O27)="","",VALUE(SUBSTITUTE(SUBSTITUTE(Sheet1!O27," bps",""),",",""))),"")</f>
        <v/>
      </c>
      <c r="F106" s="3" t="str">
        <f>IFERROR(IF(Sheet1!U27="","",N(Sheet1!U27)*100),"")</f>
        <v/>
      </c>
    </row>
    <row r="107" spans="1:6" x14ac:dyDescent="0.35">
      <c r="A107" t="str">
        <f>Sheet1!I23</f>
        <v>Price</v>
      </c>
      <c r="B107">
        <v>5</v>
      </c>
      <c r="C107" s="3">
        <f>IFERROR(N(Sheet1!I28)*100,0)</f>
        <v>0</v>
      </c>
      <c r="D107" t="str">
        <f>IF(TRIM(Sheet1!C28)="","",Sheet1!C28)</f>
        <v/>
      </c>
      <c r="E107" t="str">
        <f>IFERROR(IF(TRIM(Sheet1!O28)="","",VALUE(SUBSTITUTE(SUBSTITUTE(Sheet1!O28," bps",""),",",""))),"")</f>
        <v/>
      </c>
      <c r="F107" s="3" t="str">
        <f>IFERROR(IF(Sheet1!U28="","",N(Sheet1!U28)*100),"")</f>
        <v/>
      </c>
    </row>
    <row r="108" spans="1:6" x14ac:dyDescent="0.35">
      <c r="A108" t="str">
        <f>Sheet1!J23</f>
        <v>Region</v>
      </c>
      <c r="B108">
        <v>1</v>
      </c>
      <c r="C108" s="3">
        <f>IFERROR(N(Sheet1!J24)*100,0)</f>
        <v>15.17230726042324</v>
      </c>
      <c r="D108" t="str">
        <f>IF(TRIM(Sheet1!D24)="","",Sheet1!D24)</f>
        <v>GBKK</v>
      </c>
      <c r="E108">
        <f>IFERROR(IF(TRIM(Sheet1!P24)="","",VALUE(SUBSTITUTE(SUBSTITUTE(Sheet1!P24," bps",""),",",""))),"")</f>
        <v>-70</v>
      </c>
      <c r="F108" s="3">
        <f>IFERROR(IF(Sheet1!V24="","",N(Sheet1!V24)*100),"")</f>
        <v>1.0681761862248562</v>
      </c>
    </row>
    <row r="109" spans="1:6" x14ac:dyDescent="0.35">
      <c r="A109" t="str">
        <f>Sheet1!J23</f>
        <v>Region</v>
      </c>
      <c r="B109">
        <v>2</v>
      </c>
      <c r="C109" s="3">
        <f>IFERROR(N(Sheet1!J25)*100,0)</f>
        <v>15.008273865819044</v>
      </c>
      <c r="D109" t="str">
        <f>IF(TRIM(Sheet1!D25)="","",Sheet1!D25)</f>
        <v>CENTRAL</v>
      </c>
      <c r="E109">
        <f>IFERROR(IF(TRIM(Sheet1!P25)="","",VALUE(SUBSTITUTE(SUBSTITUTE(Sheet1!P25," bps",""),",",""))),"")</f>
        <v>-54</v>
      </c>
      <c r="F109" s="3">
        <f>IFERROR(IF(Sheet1!V25="","",N(Sheet1!V25)*100),"")</f>
        <v>2.0888919025511266</v>
      </c>
    </row>
    <row r="110" spans="1:6" x14ac:dyDescent="0.35">
      <c r="A110" t="str">
        <f>Sheet1!J23</f>
        <v>Region</v>
      </c>
      <c r="B110">
        <v>3</v>
      </c>
      <c r="C110" s="3">
        <f>IFERROR(N(Sheet1!J26)*100,0)</f>
        <v>7.1203685140820312</v>
      </c>
      <c r="D110" t="str">
        <f>IF(TRIM(Sheet1!D26)="","",Sheet1!D26)</f>
        <v>NORTH</v>
      </c>
      <c r="E110">
        <f>IFERROR(IF(TRIM(Sheet1!P26)="","",VALUE(SUBSTITUTE(SUBSTITUTE(Sheet1!P26," bps",""),",",""))),"")</f>
        <v>-28</v>
      </c>
      <c r="F110" s="3">
        <f>IFERROR(IF(Sheet1!V26="","",N(Sheet1!V26)*100),"")</f>
        <v>1.7567677033856866</v>
      </c>
    </row>
    <row r="111" spans="1:6" x14ac:dyDescent="0.35">
      <c r="A111" t="str">
        <f>Sheet1!J23</f>
        <v>Region</v>
      </c>
      <c r="B111">
        <v>4</v>
      </c>
      <c r="C111" s="3">
        <f>IFERROR(N(Sheet1!J27)*100,0)</f>
        <v>17.630647294785796</v>
      </c>
      <c r="D111" t="str">
        <f>IF(TRIM(Sheet1!D27)="","",Sheet1!D27)</f>
        <v>NORTHEAST</v>
      </c>
      <c r="E111">
        <f>IFERROR(IF(TRIM(Sheet1!P27)="","",VALUE(SUBSTITUTE(SUBSTITUTE(Sheet1!P27," bps",""),",",""))),"")</f>
        <v>34</v>
      </c>
      <c r="F111" s="3">
        <f>IFERROR(IF(Sheet1!V27="","",N(Sheet1!V27)*100),"")</f>
        <v>7.8040866741658332</v>
      </c>
    </row>
    <row r="112" spans="1:6" x14ac:dyDescent="0.35">
      <c r="A112" t="str">
        <f>Sheet1!J23</f>
        <v>Region</v>
      </c>
      <c r="B112">
        <v>5</v>
      </c>
      <c r="C112" s="3">
        <f>IFERROR(N(Sheet1!J28)*100,0)</f>
        <v>7.16984659976531</v>
      </c>
      <c r="D112" t="str">
        <f>IF(TRIM(Sheet1!D28)="","",Sheet1!D28)</f>
        <v>SOUTH</v>
      </c>
      <c r="E112">
        <f>IFERROR(IF(TRIM(Sheet1!P28)="","",VALUE(SUBSTITUTE(SUBSTITUTE(Sheet1!P28," bps",""),",",""))),"")</f>
        <v>-20</v>
      </c>
      <c r="F112" s="3">
        <f>IFERROR(IF(Sheet1!V28="","",N(Sheet1!V28)*100),"")</f>
        <v>2.9114997498184136</v>
      </c>
    </row>
    <row r="113" spans="1:6" x14ac:dyDescent="0.35">
      <c r="A113" t="str">
        <f>Sheet1!K23</f>
        <v>Packsize</v>
      </c>
      <c r="B113">
        <v>1</v>
      </c>
      <c r="C113" s="3">
        <f>IFERROR(N(Sheet1!K24)*100,0)</f>
        <v>20.293123130523622</v>
      </c>
      <c r="D113" t="str">
        <f>IF(TRIM(Sheet1!E24)="","",Sheet1!E24)</f>
        <v>S</v>
      </c>
      <c r="E113">
        <f>IFERROR(IF(TRIM(Sheet1!Q24)="","",VALUE(SUBSTITUTE(SUBSTITUTE(Sheet1!Q24," bps",""),",",""))),"")</f>
        <v>-182</v>
      </c>
      <c r="F113" s="3">
        <f>IFERROR(IF(Sheet1!W24="","",N(Sheet1!W24)*100),"")</f>
        <v>-2.9576373857395755</v>
      </c>
    </row>
    <row r="114" spans="1:6" x14ac:dyDescent="0.35">
      <c r="A114" t="str">
        <f>Sheet1!K23</f>
        <v>Packsize</v>
      </c>
      <c r="B114">
        <v>2</v>
      </c>
      <c r="C114" s="3">
        <f>IFERROR(N(Sheet1!K25)*100,0)</f>
        <v>12.734480337307957</v>
      </c>
      <c r="D114" t="str">
        <f>IF(TRIM(Sheet1!E25)="","",Sheet1!E25)</f>
        <v>M</v>
      </c>
      <c r="E114">
        <f>IFERROR(IF(TRIM(Sheet1!Q25)="","",VALUE(SUBSTITUTE(SUBSTITUTE(Sheet1!Q25," bps",""),",",""))),"")</f>
        <v>74</v>
      </c>
      <c r="F114" s="3">
        <f>IFERROR(IF(Sheet1!W25="","",N(Sheet1!W25)*100),"")</f>
        <v>12.213868435045327</v>
      </c>
    </row>
    <row r="115" spans="1:6" x14ac:dyDescent="0.35">
      <c r="A115" t="str">
        <f>Sheet1!K23</f>
        <v>Packsize</v>
      </c>
      <c r="B115">
        <v>3</v>
      </c>
      <c r="C115" s="3">
        <f>IFERROR(N(Sheet1!K26)*100,0)</f>
        <v>11.651568234055636</v>
      </c>
      <c r="D115" t="str">
        <f>IF(TRIM(Sheet1!E26)="","",Sheet1!E26)</f>
        <v>L</v>
      </c>
      <c r="E115">
        <f>IFERROR(IF(TRIM(Sheet1!Q26)="","",VALUE(SUBSTITUTE(SUBSTITUTE(Sheet1!Q26," bps",""),",",""))),"")</f>
        <v>-254</v>
      </c>
      <c r="F115" s="3">
        <f>IFERROR(IF(Sheet1!W26="","",N(Sheet1!W26)*100),"")</f>
        <v>-13.16721885131078</v>
      </c>
    </row>
    <row r="116" spans="1:6" x14ac:dyDescent="0.35">
      <c r="A116" t="str">
        <f>Sheet1!K23</f>
        <v>Packsize</v>
      </c>
      <c r="B116">
        <v>4</v>
      </c>
      <c r="C116" s="3">
        <f>IFERROR(N(Sheet1!K27)*100,0)</f>
        <v>17.422271548364261</v>
      </c>
      <c r="D116" t="str">
        <f>IF(TRIM(Sheet1!E27)="","",Sheet1!E27)</f>
        <v>XL</v>
      </c>
      <c r="E116">
        <f>IFERROR(IF(TRIM(Sheet1!Q27)="","",VALUE(SUBSTITUTE(SUBSTITUTE(Sheet1!Q27," bps",""),",",""))),"")</f>
        <v>225</v>
      </c>
      <c r="F116" s="3">
        <f>IFERROR(IF(Sheet1!W27="","",N(Sheet1!W27)*100),"")</f>
        <v>21.379921603854402</v>
      </c>
    </row>
    <row r="117" spans="1:6" x14ac:dyDescent="0.35">
      <c r="A117" t="str">
        <f>Sheet1!K23</f>
        <v>Packsize</v>
      </c>
      <c r="B117">
        <v>5</v>
      </c>
      <c r="C117" s="3">
        <f>IFERROR(N(Sheet1!K28)*100,0)</f>
        <v>0</v>
      </c>
      <c r="D117" t="str">
        <f>IF(TRIM(Sheet1!E28)="","",Sheet1!E28)</f>
        <v>XXL</v>
      </c>
      <c r="E117" t="str">
        <f>IFERROR(IF(TRIM(Sheet1!Q28)="","",VALUE(SUBSTITUTE(SUBSTITUTE(Sheet1!Q28," bps",""),",",""))),"")</f>
        <v/>
      </c>
      <c r="F117" s="3" t="str">
        <f>IFERROR(IF(Sheet1!W28="","",N(Sheet1!W28)*100),"")</f>
        <v/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739E7-39E8-4299-B0DF-878B7B426E15}">
  <dimension ref="A1:A106"/>
  <sheetViews>
    <sheetView workbookViewId="0"/>
  </sheetViews>
  <sheetFormatPr defaultRowHeight="14.5" x14ac:dyDescent="0.35"/>
  <cols>
    <col min="1" max="1" width="141.81640625" customWidth="1"/>
  </cols>
  <sheetData>
    <row r="1" spans="1:1" ht="23.5" x14ac:dyDescent="0.55000000000000004">
      <c r="A1" s="4" t="s">
        <v>112</v>
      </c>
    </row>
    <row r="2" spans="1:1" x14ac:dyDescent="0.35">
      <c r="A2" s="5" t="s">
        <v>113</v>
      </c>
    </row>
    <row r="3" spans="1:1" x14ac:dyDescent="0.35">
      <c r="A3" s="6"/>
    </row>
    <row r="4" spans="1:1" ht="17" x14ac:dyDescent="0.4">
      <c r="A4" s="7" t="s">
        <v>114</v>
      </c>
    </row>
    <row r="5" spans="1:1" x14ac:dyDescent="0.35">
      <c r="A5" s="6" t="s">
        <v>115</v>
      </c>
    </row>
    <row r="6" spans="1:1" x14ac:dyDescent="0.35">
      <c r="A6" s="9" t="s">
        <v>116</v>
      </c>
    </row>
    <row r="7" spans="1:1" x14ac:dyDescent="0.35">
      <c r="A7" s="9" t="s">
        <v>117</v>
      </c>
    </row>
    <row r="8" spans="1:1" x14ac:dyDescent="0.35">
      <c r="A8" s="9" t="s">
        <v>118</v>
      </c>
    </row>
    <row r="9" spans="1:1" x14ac:dyDescent="0.35">
      <c r="A9" s="9" t="s">
        <v>119</v>
      </c>
    </row>
    <row r="10" spans="1:1" x14ac:dyDescent="0.35">
      <c r="A10" s="6" t="s">
        <v>120</v>
      </c>
    </row>
    <row r="11" spans="1:1" x14ac:dyDescent="0.35">
      <c r="A11" s="6"/>
    </row>
    <row r="12" spans="1:1" ht="17" x14ac:dyDescent="0.4">
      <c r="A12" s="7" t="s">
        <v>121</v>
      </c>
    </row>
    <row r="13" spans="1:1" x14ac:dyDescent="0.35">
      <c r="A13" s="6" t="s">
        <v>122</v>
      </c>
    </row>
    <row r="14" spans="1:1" x14ac:dyDescent="0.35">
      <c r="A14" s="6"/>
    </row>
    <row r="15" spans="1:1" x14ac:dyDescent="0.35">
      <c r="A15" s="10" t="s">
        <v>123</v>
      </c>
    </row>
    <row r="16" spans="1:1" x14ac:dyDescent="0.35">
      <c r="A16" s="6" t="s">
        <v>124</v>
      </c>
    </row>
    <row r="17" spans="1:1" x14ac:dyDescent="0.35">
      <c r="A17" s="6" t="s">
        <v>125</v>
      </c>
    </row>
    <row r="18" spans="1:1" x14ac:dyDescent="0.35">
      <c r="A18" s="9" t="s">
        <v>126</v>
      </c>
    </row>
    <row r="19" spans="1:1" x14ac:dyDescent="0.35">
      <c r="A19" s="9" t="s">
        <v>127</v>
      </c>
    </row>
    <row r="20" spans="1:1" x14ac:dyDescent="0.35">
      <c r="A20" s="9" t="s">
        <v>128</v>
      </c>
    </row>
    <row r="21" spans="1:1" x14ac:dyDescent="0.35">
      <c r="A21" s="9" t="s">
        <v>129</v>
      </c>
    </row>
    <row r="22" spans="1:1" x14ac:dyDescent="0.35">
      <c r="A22" s="9" t="s">
        <v>130</v>
      </c>
    </row>
    <row r="23" spans="1:1" x14ac:dyDescent="0.35">
      <c r="A23" s="6" t="s">
        <v>131</v>
      </c>
    </row>
    <row r="24" spans="1:1" x14ac:dyDescent="0.35">
      <c r="A24" s="6" t="s">
        <v>132</v>
      </c>
    </row>
    <row r="25" spans="1:1" x14ac:dyDescent="0.35">
      <c r="A25" s="11" t="s">
        <v>133</v>
      </c>
    </row>
    <row r="26" spans="1:1" x14ac:dyDescent="0.35">
      <c r="A26" s="12" t="s">
        <v>134</v>
      </c>
    </row>
    <row r="27" spans="1:1" x14ac:dyDescent="0.35">
      <c r="A27" s="13" t="s">
        <v>135</v>
      </c>
    </row>
    <row r="28" spans="1:1" x14ac:dyDescent="0.35">
      <c r="A28" s="13" t="s">
        <v>136</v>
      </c>
    </row>
    <row r="29" spans="1:1" x14ac:dyDescent="0.35">
      <c r="A29" s="13" t="s">
        <v>137</v>
      </c>
    </row>
    <row r="30" spans="1:1" x14ac:dyDescent="0.35">
      <c r="A30" s="6" t="s">
        <v>138</v>
      </c>
    </row>
    <row r="31" spans="1:1" x14ac:dyDescent="0.35">
      <c r="A31" s="9" t="s">
        <v>139</v>
      </c>
    </row>
    <row r="32" spans="1:1" x14ac:dyDescent="0.35">
      <c r="A32" s="6"/>
    </row>
    <row r="33" spans="1:1" x14ac:dyDescent="0.35">
      <c r="A33" s="10" t="s">
        <v>140</v>
      </c>
    </row>
    <row r="34" spans="1:1" x14ac:dyDescent="0.35">
      <c r="A34" s="6" t="s">
        <v>141</v>
      </c>
    </row>
    <row r="35" spans="1:1" x14ac:dyDescent="0.35">
      <c r="A35" s="6" t="s">
        <v>142</v>
      </c>
    </row>
    <row r="36" spans="1:1" x14ac:dyDescent="0.35">
      <c r="A36" s="9" t="s">
        <v>143</v>
      </c>
    </row>
    <row r="37" spans="1:1" x14ac:dyDescent="0.35">
      <c r="A37" s="6" t="s">
        <v>144</v>
      </c>
    </row>
    <row r="38" spans="1:1" x14ac:dyDescent="0.35">
      <c r="A38" s="9" t="s">
        <v>145</v>
      </c>
    </row>
    <row r="39" spans="1:1" x14ac:dyDescent="0.35">
      <c r="A39" s="6"/>
    </row>
    <row r="40" spans="1:1" x14ac:dyDescent="0.35">
      <c r="A40" s="10" t="s">
        <v>146</v>
      </c>
    </row>
    <row r="41" spans="1:1" x14ac:dyDescent="0.35">
      <c r="A41" s="6" t="s">
        <v>147</v>
      </c>
    </row>
    <row r="42" spans="1:1" x14ac:dyDescent="0.35">
      <c r="A42" s="6" t="s">
        <v>148</v>
      </c>
    </row>
    <row r="43" spans="1:1" x14ac:dyDescent="0.35">
      <c r="A43" s="6" t="s">
        <v>149</v>
      </c>
    </row>
    <row r="44" spans="1:1" x14ac:dyDescent="0.35">
      <c r="A44" s="6" t="s">
        <v>150</v>
      </c>
    </row>
    <row r="45" spans="1:1" x14ac:dyDescent="0.35">
      <c r="A45" s="6" t="s">
        <v>151</v>
      </c>
    </row>
    <row r="46" spans="1:1" x14ac:dyDescent="0.35">
      <c r="A46" s="6"/>
    </row>
    <row r="47" spans="1:1" ht="17" x14ac:dyDescent="0.4">
      <c r="A47" s="7" t="s">
        <v>152</v>
      </c>
    </row>
    <row r="48" spans="1:1" x14ac:dyDescent="0.35">
      <c r="A48" s="6" t="s">
        <v>153</v>
      </c>
    </row>
    <row r="49" spans="1:1" x14ac:dyDescent="0.35">
      <c r="A49" s="6" t="s">
        <v>154</v>
      </c>
    </row>
    <row r="50" spans="1:1" x14ac:dyDescent="0.35">
      <c r="A50" s="6" t="s">
        <v>155</v>
      </c>
    </row>
    <row r="51" spans="1:1" x14ac:dyDescent="0.35">
      <c r="A51" s="13" t="s">
        <v>156</v>
      </c>
    </row>
    <row r="52" spans="1:1" x14ac:dyDescent="0.35">
      <c r="A52" s="6" t="s">
        <v>157</v>
      </c>
    </row>
    <row r="53" spans="1:1" x14ac:dyDescent="0.35">
      <c r="A53" s="6" t="s">
        <v>158</v>
      </c>
    </row>
    <row r="54" spans="1:1" x14ac:dyDescent="0.35">
      <c r="A54" s="6"/>
    </row>
    <row r="55" spans="1:1" ht="17" x14ac:dyDescent="0.4">
      <c r="A55" s="7" t="s">
        <v>159</v>
      </c>
    </row>
    <row r="56" spans="1:1" x14ac:dyDescent="0.35">
      <c r="A56" s="6" t="s">
        <v>160</v>
      </c>
    </row>
    <row r="57" spans="1:1" x14ac:dyDescent="0.35">
      <c r="A57" s="6" t="s">
        <v>161</v>
      </c>
    </row>
    <row r="58" spans="1:1" x14ac:dyDescent="0.35">
      <c r="A58" s="6" t="s">
        <v>162</v>
      </c>
    </row>
    <row r="59" spans="1:1" x14ac:dyDescent="0.35">
      <c r="A59" s="6" t="s">
        <v>163</v>
      </c>
    </row>
    <row r="60" spans="1:1" x14ac:dyDescent="0.35">
      <c r="A60" s="6" t="s">
        <v>164</v>
      </c>
    </row>
    <row r="61" spans="1:1" x14ac:dyDescent="0.35">
      <c r="A61" s="6"/>
    </row>
    <row r="62" spans="1:1" x14ac:dyDescent="0.35">
      <c r="A62" s="6" t="s">
        <v>165</v>
      </c>
    </row>
    <row r="63" spans="1:1" x14ac:dyDescent="0.35">
      <c r="A63" s="9" t="s">
        <v>166</v>
      </c>
    </row>
    <row r="64" spans="1:1" x14ac:dyDescent="0.35">
      <c r="A64" s="9" t="s">
        <v>167</v>
      </c>
    </row>
    <row r="65" spans="1:1" x14ac:dyDescent="0.35">
      <c r="A65" s="9" t="s">
        <v>168</v>
      </c>
    </row>
    <row r="66" spans="1:1" x14ac:dyDescent="0.35">
      <c r="A66" s="9" t="s">
        <v>169</v>
      </c>
    </row>
    <row r="67" spans="1:1" x14ac:dyDescent="0.35">
      <c r="A67" s="9" t="s">
        <v>170</v>
      </c>
    </row>
    <row r="68" spans="1:1" x14ac:dyDescent="0.35">
      <c r="A68" s="6" t="s">
        <v>171</v>
      </c>
    </row>
    <row r="69" spans="1:1" x14ac:dyDescent="0.35">
      <c r="A69" s="6" t="s">
        <v>172</v>
      </c>
    </row>
    <row r="70" spans="1:1" x14ac:dyDescent="0.35">
      <c r="A70" s="6" t="s">
        <v>173</v>
      </c>
    </row>
    <row r="71" spans="1:1" x14ac:dyDescent="0.35">
      <c r="A71" s="9" t="s">
        <v>174</v>
      </c>
    </row>
    <row r="72" spans="1:1" x14ac:dyDescent="0.35">
      <c r="A72" s="9" t="s">
        <v>175</v>
      </c>
    </row>
    <row r="73" spans="1:1" x14ac:dyDescent="0.35">
      <c r="A73" s="6"/>
    </row>
    <row r="74" spans="1:1" x14ac:dyDescent="0.35">
      <c r="A74" s="6" t="s">
        <v>176</v>
      </c>
    </row>
    <row r="75" spans="1:1" x14ac:dyDescent="0.35">
      <c r="A75" s="9" t="s">
        <v>177</v>
      </c>
    </row>
    <row r="76" spans="1:1" x14ac:dyDescent="0.35">
      <c r="A76" s="9" t="s">
        <v>178</v>
      </c>
    </row>
    <row r="77" spans="1:1" x14ac:dyDescent="0.35">
      <c r="A77" s="9" t="s">
        <v>179</v>
      </c>
    </row>
    <row r="78" spans="1:1" x14ac:dyDescent="0.35">
      <c r="A78" s="6"/>
    </row>
    <row r="79" spans="1:1" ht="17" x14ac:dyDescent="0.4">
      <c r="A79" s="7" t="s">
        <v>180</v>
      </c>
    </row>
    <row r="80" spans="1:1" x14ac:dyDescent="0.35">
      <c r="A80" s="9" t="s">
        <v>181</v>
      </c>
    </row>
    <row r="81" spans="1:1" x14ac:dyDescent="0.35">
      <c r="A81" s="9" t="s">
        <v>182</v>
      </c>
    </row>
    <row r="82" spans="1:1" x14ac:dyDescent="0.35">
      <c r="A82" s="9" t="s">
        <v>183</v>
      </c>
    </row>
    <row r="83" spans="1:1" x14ac:dyDescent="0.35">
      <c r="A83" s="9" t="s">
        <v>184</v>
      </c>
    </row>
    <row r="84" spans="1:1" x14ac:dyDescent="0.35">
      <c r="A84" s="9" t="s">
        <v>185</v>
      </c>
    </row>
    <row r="85" spans="1:1" x14ac:dyDescent="0.35">
      <c r="A85" s="9" t="s">
        <v>186</v>
      </c>
    </row>
    <row r="86" spans="1:1" x14ac:dyDescent="0.35">
      <c r="A86" s="6"/>
    </row>
    <row r="87" spans="1:1" ht="17" x14ac:dyDescent="0.4">
      <c r="A87" s="7" t="s">
        <v>187</v>
      </c>
    </row>
    <row r="88" spans="1:1" x14ac:dyDescent="0.35">
      <c r="A88" s="6" t="s">
        <v>188</v>
      </c>
    </row>
    <row r="89" spans="1:1" x14ac:dyDescent="0.35">
      <c r="A89" s="6" t="s">
        <v>189</v>
      </c>
    </row>
    <row r="90" spans="1:1" x14ac:dyDescent="0.35">
      <c r="A90" s="6" t="s">
        <v>190</v>
      </c>
    </row>
    <row r="91" spans="1:1" x14ac:dyDescent="0.35">
      <c r="A91" s="6" t="s">
        <v>191</v>
      </c>
    </row>
    <row r="92" spans="1:1" x14ac:dyDescent="0.35">
      <c r="A92" s="6" t="s">
        <v>192</v>
      </c>
    </row>
    <row r="93" spans="1:1" x14ac:dyDescent="0.35">
      <c r="A93" s="6" t="s">
        <v>193</v>
      </c>
    </row>
    <row r="94" spans="1:1" x14ac:dyDescent="0.35">
      <c r="A94" s="6"/>
    </row>
    <row r="95" spans="1:1" ht="17" x14ac:dyDescent="0.4">
      <c r="A95" s="7" t="s">
        <v>194</v>
      </c>
    </row>
    <row r="96" spans="1:1" x14ac:dyDescent="0.35">
      <c r="A96" s="6" t="s">
        <v>195</v>
      </c>
    </row>
    <row r="97" spans="1:1" x14ac:dyDescent="0.35">
      <c r="A97" s="6" t="s">
        <v>196</v>
      </c>
    </row>
    <row r="98" spans="1:1" x14ac:dyDescent="0.35">
      <c r="A98" s="6" t="s">
        <v>197</v>
      </c>
    </row>
    <row r="99" spans="1:1" x14ac:dyDescent="0.35">
      <c r="A99" s="6" t="s">
        <v>198</v>
      </c>
    </row>
    <row r="100" spans="1:1" x14ac:dyDescent="0.35">
      <c r="A100" s="6" t="s">
        <v>199</v>
      </c>
    </row>
    <row r="101" spans="1:1" x14ac:dyDescent="0.35">
      <c r="A101" s="6" t="s">
        <v>200</v>
      </c>
    </row>
    <row r="102" spans="1:1" x14ac:dyDescent="0.35">
      <c r="A102" s="6" t="s">
        <v>201</v>
      </c>
    </row>
    <row r="103" spans="1:1" x14ac:dyDescent="0.35">
      <c r="A103" s="6" t="s">
        <v>202</v>
      </c>
    </row>
    <row r="104" spans="1:1" x14ac:dyDescent="0.35">
      <c r="A104" s="6"/>
    </row>
    <row r="105" spans="1:1" x14ac:dyDescent="0.35">
      <c r="A105" s="6" t="s">
        <v>203</v>
      </c>
    </row>
    <row r="106" spans="1:1" x14ac:dyDescent="0.35">
      <c r="A106" s="6" t="s">
        <v>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EC40B-01A9-49D6-AC3D-38044ACA76BF}">
  <dimension ref="A1:A83"/>
  <sheetViews>
    <sheetView workbookViewId="0">
      <selection activeCell="A85" sqref="A85"/>
    </sheetView>
  </sheetViews>
  <sheetFormatPr defaultRowHeight="14.5" x14ac:dyDescent="0.35"/>
  <cols>
    <col min="1" max="1" width="141.81640625" customWidth="1"/>
  </cols>
  <sheetData>
    <row r="1" spans="1:1" x14ac:dyDescent="0.35">
      <c r="A1" s="8" t="s">
        <v>205</v>
      </c>
    </row>
    <row r="2" spans="1:1" x14ac:dyDescent="0.35">
      <c r="A2" s="8" t="s">
        <v>206</v>
      </c>
    </row>
    <row r="3" spans="1:1" x14ac:dyDescent="0.35">
      <c r="A3" s="8" t="s">
        <v>207</v>
      </c>
    </row>
    <row r="4" spans="1:1" x14ac:dyDescent="0.35">
      <c r="A4" s="8" t="s">
        <v>208</v>
      </c>
    </row>
    <row r="5" spans="1:1" x14ac:dyDescent="0.35">
      <c r="A5" s="8"/>
    </row>
    <row r="6" spans="1:1" x14ac:dyDescent="0.35">
      <c r="A6" s="8" t="s">
        <v>209</v>
      </c>
    </row>
    <row r="7" spans="1:1" x14ac:dyDescent="0.35">
      <c r="A7" s="8" t="s">
        <v>210</v>
      </c>
    </row>
    <row r="8" spans="1:1" x14ac:dyDescent="0.35">
      <c r="A8" s="8" t="s">
        <v>211</v>
      </c>
    </row>
    <row r="9" spans="1:1" x14ac:dyDescent="0.35">
      <c r="A9" s="8" t="s">
        <v>212</v>
      </c>
    </row>
    <row r="10" spans="1:1" x14ac:dyDescent="0.35">
      <c r="A10" s="8"/>
    </row>
    <row r="11" spans="1:1" x14ac:dyDescent="0.35">
      <c r="A11" s="8" t="s">
        <v>213</v>
      </c>
    </row>
    <row r="12" spans="1:1" x14ac:dyDescent="0.35">
      <c r="A12" s="8"/>
    </row>
    <row r="13" spans="1:1" x14ac:dyDescent="0.35">
      <c r="A13" s="8" t="s">
        <v>214</v>
      </c>
    </row>
    <row r="14" spans="1:1" x14ac:dyDescent="0.35">
      <c r="A14" s="8" t="s">
        <v>215</v>
      </c>
    </row>
    <row r="15" spans="1:1" x14ac:dyDescent="0.35">
      <c r="A15" s="8" t="s">
        <v>216</v>
      </c>
    </row>
    <row r="16" spans="1:1" x14ac:dyDescent="0.35">
      <c r="A16" s="8" t="s">
        <v>217</v>
      </c>
    </row>
    <row r="17" spans="1:1" x14ac:dyDescent="0.35">
      <c r="A17" s="8"/>
    </row>
    <row r="18" spans="1:1" x14ac:dyDescent="0.35">
      <c r="A18" s="8" t="s">
        <v>218</v>
      </c>
    </row>
    <row r="19" spans="1:1" x14ac:dyDescent="0.35">
      <c r="A19" s="8" t="s">
        <v>219</v>
      </c>
    </row>
    <row r="20" spans="1:1" x14ac:dyDescent="0.35">
      <c r="A20" s="8"/>
    </row>
    <row r="21" spans="1:1" x14ac:dyDescent="0.35">
      <c r="A21" s="8" t="s">
        <v>220</v>
      </c>
    </row>
    <row r="22" spans="1:1" x14ac:dyDescent="0.35">
      <c r="A22" s="8" t="s">
        <v>221</v>
      </c>
    </row>
    <row r="23" spans="1:1" x14ac:dyDescent="0.35">
      <c r="A23" s="8" t="s">
        <v>222</v>
      </c>
    </row>
    <row r="24" spans="1:1" x14ac:dyDescent="0.35">
      <c r="A24" s="8" t="s">
        <v>223</v>
      </c>
    </row>
    <row r="25" spans="1:1" x14ac:dyDescent="0.35">
      <c r="A25" s="8" t="s">
        <v>224</v>
      </c>
    </row>
    <row r="26" spans="1:1" x14ac:dyDescent="0.35">
      <c r="A26" s="8" t="s">
        <v>225</v>
      </c>
    </row>
    <row r="27" spans="1:1" x14ac:dyDescent="0.35">
      <c r="A27" s="8" t="s">
        <v>226</v>
      </c>
    </row>
    <row r="28" spans="1:1" x14ac:dyDescent="0.35">
      <c r="A28" s="8"/>
    </row>
    <row r="29" spans="1:1" x14ac:dyDescent="0.35">
      <c r="A29" s="8" t="s">
        <v>227</v>
      </c>
    </row>
    <row r="30" spans="1:1" x14ac:dyDescent="0.35">
      <c r="A30" s="8" t="s">
        <v>228</v>
      </c>
    </row>
    <row r="31" spans="1:1" x14ac:dyDescent="0.35">
      <c r="A31" s="8" t="s">
        <v>229</v>
      </c>
    </row>
    <row r="32" spans="1:1" x14ac:dyDescent="0.35">
      <c r="A32" s="8" t="s">
        <v>230</v>
      </c>
    </row>
    <row r="33" spans="1:1" x14ac:dyDescent="0.35">
      <c r="A33" s="8" t="s">
        <v>231</v>
      </c>
    </row>
    <row r="34" spans="1:1" x14ac:dyDescent="0.35">
      <c r="A34" s="8" t="s">
        <v>224</v>
      </c>
    </row>
    <row r="35" spans="1:1" x14ac:dyDescent="0.35">
      <c r="A35" s="8"/>
    </row>
    <row r="36" spans="1:1" x14ac:dyDescent="0.35">
      <c r="A36" s="8" t="s">
        <v>232</v>
      </c>
    </row>
    <row r="37" spans="1:1" x14ac:dyDescent="0.35">
      <c r="A37" s="8" t="s">
        <v>233</v>
      </c>
    </row>
    <row r="38" spans="1:1" x14ac:dyDescent="0.35">
      <c r="A38" s="8" t="s">
        <v>234</v>
      </c>
    </row>
    <row r="39" spans="1:1" x14ac:dyDescent="0.35">
      <c r="A39" s="8"/>
    </row>
    <row r="40" spans="1:1" x14ac:dyDescent="0.35">
      <c r="A40" s="8" t="s">
        <v>235</v>
      </c>
    </row>
    <row r="41" spans="1:1" x14ac:dyDescent="0.35">
      <c r="A41" s="8" t="s">
        <v>236</v>
      </c>
    </row>
    <row r="42" spans="1:1" x14ac:dyDescent="0.35">
      <c r="A42" s="8"/>
    </row>
    <row r="43" spans="1:1" x14ac:dyDescent="0.35">
      <c r="A43" s="8" t="s">
        <v>237</v>
      </c>
    </row>
    <row r="44" spans="1:1" x14ac:dyDescent="0.35">
      <c r="A44" s="8" t="s">
        <v>238</v>
      </c>
    </row>
    <row r="45" spans="1:1" x14ac:dyDescent="0.35">
      <c r="A45" s="8" t="s">
        <v>239</v>
      </c>
    </row>
    <row r="46" spans="1:1" x14ac:dyDescent="0.35">
      <c r="A46" s="8" t="s">
        <v>240</v>
      </c>
    </row>
    <row r="47" spans="1:1" x14ac:dyDescent="0.35">
      <c r="A47" s="8" t="s">
        <v>241</v>
      </c>
    </row>
    <row r="48" spans="1:1" x14ac:dyDescent="0.35">
      <c r="A48" s="8" t="s">
        <v>242</v>
      </c>
    </row>
    <row r="49" spans="1:1" x14ac:dyDescent="0.35">
      <c r="A49" s="8"/>
    </row>
    <row r="50" spans="1:1" x14ac:dyDescent="0.35">
      <c r="A50" s="8" t="s">
        <v>243</v>
      </c>
    </row>
    <row r="51" spans="1:1" x14ac:dyDescent="0.35">
      <c r="A51" s="8" t="s">
        <v>244</v>
      </c>
    </row>
    <row r="52" spans="1:1" x14ac:dyDescent="0.35">
      <c r="A52" s="8" t="s">
        <v>245</v>
      </c>
    </row>
    <row r="53" spans="1:1" x14ac:dyDescent="0.35">
      <c r="A53" s="8" t="s">
        <v>246</v>
      </c>
    </row>
    <row r="54" spans="1:1" x14ac:dyDescent="0.35">
      <c r="A54" s="8"/>
    </row>
    <row r="55" spans="1:1" x14ac:dyDescent="0.35">
      <c r="A55" s="8" t="s">
        <v>247</v>
      </c>
    </row>
    <row r="56" spans="1:1" x14ac:dyDescent="0.35">
      <c r="A56" s="8" t="s">
        <v>248</v>
      </c>
    </row>
    <row r="57" spans="1:1" x14ac:dyDescent="0.35">
      <c r="A57" s="8"/>
    </row>
    <row r="58" spans="1:1" x14ac:dyDescent="0.35">
      <c r="A58" s="8" t="s">
        <v>249</v>
      </c>
    </row>
    <row r="59" spans="1:1" x14ac:dyDescent="0.35">
      <c r="A59" s="8" t="s">
        <v>250</v>
      </c>
    </row>
    <row r="60" spans="1:1" x14ac:dyDescent="0.35">
      <c r="A60" s="8"/>
    </row>
    <row r="61" spans="1:1" x14ac:dyDescent="0.35">
      <c r="A61" s="8" t="s">
        <v>251</v>
      </c>
    </row>
    <row r="62" spans="1:1" x14ac:dyDescent="0.35">
      <c r="A62" s="8" t="s">
        <v>252</v>
      </c>
    </row>
    <row r="63" spans="1:1" x14ac:dyDescent="0.35">
      <c r="A63" s="8" t="s">
        <v>253</v>
      </c>
    </row>
    <row r="64" spans="1:1" x14ac:dyDescent="0.35">
      <c r="A64" s="8" t="s">
        <v>254</v>
      </c>
    </row>
    <row r="65" spans="1:1" x14ac:dyDescent="0.35">
      <c r="A65" s="8" t="s">
        <v>255</v>
      </c>
    </row>
    <row r="66" spans="1:1" x14ac:dyDescent="0.35">
      <c r="A66" s="8" t="s">
        <v>256</v>
      </c>
    </row>
    <row r="67" spans="1:1" x14ac:dyDescent="0.35">
      <c r="A67" s="8" t="s">
        <v>257</v>
      </c>
    </row>
    <row r="68" spans="1:1" x14ac:dyDescent="0.35">
      <c r="A68" s="8" t="s">
        <v>258</v>
      </c>
    </row>
    <row r="69" spans="1:1" x14ac:dyDescent="0.35">
      <c r="A69" s="8" t="s">
        <v>259</v>
      </c>
    </row>
    <row r="70" spans="1:1" x14ac:dyDescent="0.35">
      <c r="A70" s="8" t="s">
        <v>260</v>
      </c>
    </row>
    <row r="71" spans="1:1" x14ac:dyDescent="0.35">
      <c r="A71" s="8" t="s">
        <v>261</v>
      </c>
    </row>
    <row r="72" spans="1:1" x14ac:dyDescent="0.35">
      <c r="A72" s="8" t="s">
        <v>262</v>
      </c>
    </row>
    <row r="73" spans="1:1" x14ac:dyDescent="0.35">
      <c r="A73" s="8"/>
    </row>
    <row r="74" spans="1:1" x14ac:dyDescent="0.35">
      <c r="A74" s="8" t="s">
        <v>263</v>
      </c>
    </row>
    <row r="75" spans="1:1" x14ac:dyDescent="0.35">
      <c r="A75" s="8" t="s">
        <v>264</v>
      </c>
    </row>
    <row r="76" spans="1:1" x14ac:dyDescent="0.35">
      <c r="A76" s="8" t="s">
        <v>265</v>
      </c>
    </row>
    <row r="77" spans="1:1" x14ac:dyDescent="0.35">
      <c r="A77" s="8" t="s">
        <v>266</v>
      </c>
    </row>
    <row r="78" spans="1:1" x14ac:dyDescent="0.35">
      <c r="A78" s="8" t="s">
        <v>267</v>
      </c>
    </row>
    <row r="79" spans="1:1" x14ac:dyDescent="0.35">
      <c r="A79" s="8" t="s">
        <v>268</v>
      </c>
    </row>
    <row r="80" spans="1:1" x14ac:dyDescent="0.35">
      <c r="A80" s="8" t="s">
        <v>269</v>
      </c>
    </row>
    <row r="81" spans="1:1" x14ac:dyDescent="0.35">
      <c r="A81" s="8" t="s">
        <v>270</v>
      </c>
    </row>
    <row r="82" spans="1:1" x14ac:dyDescent="0.35">
      <c r="A82" s="8" t="s">
        <v>271</v>
      </c>
    </row>
    <row r="83" spans="1:1" x14ac:dyDescent="0.35">
      <c r="A83" s="8" t="s">
        <v>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2220B-DEAB-4958-BA4D-E73A43CD46DD}">
  <dimension ref="A1:A126"/>
  <sheetViews>
    <sheetView workbookViewId="0">
      <selection activeCell="A5" sqref="A5"/>
    </sheetView>
  </sheetViews>
  <sheetFormatPr defaultRowHeight="14.5" x14ac:dyDescent="0.35"/>
  <cols>
    <col min="1" max="1" width="141.81640625" customWidth="1"/>
  </cols>
  <sheetData>
    <row r="1" spans="1:1" x14ac:dyDescent="0.35">
      <c r="A1" s="8" t="s">
        <v>273</v>
      </c>
    </row>
    <row r="2" spans="1:1" x14ac:dyDescent="0.35">
      <c r="A2" s="8" t="s">
        <v>274</v>
      </c>
    </row>
    <row r="3" spans="1:1" x14ac:dyDescent="0.35">
      <c r="A3" s="8" t="s">
        <v>275</v>
      </c>
    </row>
    <row r="4" spans="1:1" x14ac:dyDescent="0.35">
      <c r="A4" s="8"/>
    </row>
    <row r="5" spans="1:1" x14ac:dyDescent="0.35">
      <c r="A5" s="8" t="s">
        <v>276</v>
      </c>
    </row>
    <row r="6" spans="1:1" x14ac:dyDescent="0.35">
      <c r="A6" s="8" t="s">
        <v>277</v>
      </c>
    </row>
    <row r="7" spans="1:1" x14ac:dyDescent="0.35">
      <c r="A7" s="8" t="s">
        <v>278</v>
      </c>
    </row>
    <row r="8" spans="1:1" x14ac:dyDescent="0.35">
      <c r="A8" s="8" t="s">
        <v>279</v>
      </c>
    </row>
    <row r="9" spans="1:1" x14ac:dyDescent="0.35">
      <c r="A9" s="8" t="s">
        <v>280</v>
      </c>
    </row>
    <row r="10" spans="1:1" x14ac:dyDescent="0.35">
      <c r="A10" s="8" t="s">
        <v>281</v>
      </c>
    </row>
    <row r="11" spans="1:1" x14ac:dyDescent="0.35">
      <c r="A11" s="8" t="s">
        <v>282</v>
      </c>
    </row>
    <row r="12" spans="1:1" x14ac:dyDescent="0.35">
      <c r="A12" s="8" t="s">
        <v>283</v>
      </c>
    </row>
    <row r="13" spans="1:1" x14ac:dyDescent="0.35">
      <c r="A13" s="8"/>
    </row>
    <row r="14" spans="1:1" x14ac:dyDescent="0.35">
      <c r="A14" s="8" t="s">
        <v>284</v>
      </c>
    </row>
    <row r="15" spans="1:1" x14ac:dyDescent="0.35">
      <c r="A15" s="8" t="s">
        <v>285</v>
      </c>
    </row>
    <row r="16" spans="1:1" x14ac:dyDescent="0.35">
      <c r="A16" s="8" t="s">
        <v>286</v>
      </c>
    </row>
    <row r="17" spans="1:1" x14ac:dyDescent="0.35">
      <c r="A17" s="8" t="s">
        <v>287</v>
      </c>
    </row>
    <row r="18" spans="1:1" x14ac:dyDescent="0.35">
      <c r="A18" s="8"/>
    </row>
    <row r="19" spans="1:1" x14ac:dyDescent="0.35">
      <c r="A19" s="8" t="s">
        <v>288</v>
      </c>
    </row>
    <row r="20" spans="1:1" x14ac:dyDescent="0.35">
      <c r="A20" s="8" t="s">
        <v>289</v>
      </c>
    </row>
    <row r="21" spans="1:1" x14ac:dyDescent="0.35">
      <c r="A21" s="8"/>
    </row>
    <row r="22" spans="1:1" x14ac:dyDescent="0.35">
      <c r="A22" s="8" t="s">
        <v>290</v>
      </c>
    </row>
    <row r="23" spans="1:1" x14ac:dyDescent="0.35">
      <c r="A23" s="8" t="s">
        <v>291</v>
      </c>
    </row>
    <row r="24" spans="1:1" x14ac:dyDescent="0.35">
      <c r="A24" s="8" t="s">
        <v>292</v>
      </c>
    </row>
    <row r="25" spans="1:1" x14ac:dyDescent="0.35">
      <c r="A25" s="8" t="s">
        <v>293</v>
      </c>
    </row>
    <row r="26" spans="1:1" x14ac:dyDescent="0.35">
      <c r="A26" s="8" t="s">
        <v>294</v>
      </c>
    </row>
    <row r="27" spans="1:1" x14ac:dyDescent="0.35">
      <c r="A27" s="8" t="s">
        <v>295</v>
      </c>
    </row>
    <row r="28" spans="1:1" x14ac:dyDescent="0.35">
      <c r="A28" s="8" t="s">
        <v>296</v>
      </c>
    </row>
    <row r="29" spans="1:1" x14ac:dyDescent="0.35">
      <c r="A29" s="8" t="s">
        <v>297</v>
      </c>
    </row>
    <row r="30" spans="1:1" x14ac:dyDescent="0.35">
      <c r="A30" s="8"/>
    </row>
    <row r="31" spans="1:1" x14ac:dyDescent="0.35">
      <c r="A31" s="8" t="s">
        <v>298</v>
      </c>
    </row>
    <row r="32" spans="1:1" x14ac:dyDescent="0.35">
      <c r="A32" s="8" t="s">
        <v>299</v>
      </c>
    </row>
    <row r="33" spans="1:1" x14ac:dyDescent="0.35">
      <c r="A33" s="8" t="s">
        <v>300</v>
      </c>
    </row>
    <row r="34" spans="1:1" x14ac:dyDescent="0.35">
      <c r="A34" s="8" t="s">
        <v>301</v>
      </c>
    </row>
    <row r="35" spans="1:1" x14ac:dyDescent="0.35">
      <c r="A35" s="8" t="s">
        <v>302</v>
      </c>
    </row>
    <row r="36" spans="1:1" x14ac:dyDescent="0.35">
      <c r="A36" s="8" t="s">
        <v>303</v>
      </c>
    </row>
    <row r="37" spans="1:1" x14ac:dyDescent="0.35">
      <c r="A37" s="8" t="s">
        <v>304</v>
      </c>
    </row>
    <row r="38" spans="1:1" x14ac:dyDescent="0.35">
      <c r="A38" s="8" t="s">
        <v>305</v>
      </c>
    </row>
    <row r="39" spans="1:1" x14ac:dyDescent="0.35">
      <c r="A39" s="8" t="s">
        <v>306</v>
      </c>
    </row>
    <row r="40" spans="1:1" x14ac:dyDescent="0.35">
      <c r="A40" s="8" t="s">
        <v>307</v>
      </c>
    </row>
    <row r="41" spans="1:1" x14ac:dyDescent="0.35">
      <c r="A41" s="8"/>
    </row>
    <row r="42" spans="1:1" x14ac:dyDescent="0.35">
      <c r="A42" s="8" t="s">
        <v>308</v>
      </c>
    </row>
    <row r="43" spans="1:1" x14ac:dyDescent="0.35">
      <c r="A43" s="8" t="s">
        <v>309</v>
      </c>
    </row>
    <row r="44" spans="1:1" x14ac:dyDescent="0.35">
      <c r="A44" s="8" t="s">
        <v>310</v>
      </c>
    </row>
    <row r="45" spans="1:1" x14ac:dyDescent="0.35">
      <c r="A45" s="8" t="s">
        <v>311</v>
      </c>
    </row>
    <row r="46" spans="1:1" x14ac:dyDescent="0.35">
      <c r="A46" s="8" t="s">
        <v>312</v>
      </c>
    </row>
    <row r="47" spans="1:1" x14ac:dyDescent="0.35">
      <c r="A47" s="8"/>
    </row>
    <row r="48" spans="1:1" x14ac:dyDescent="0.35">
      <c r="A48" s="8" t="s">
        <v>313</v>
      </c>
    </row>
    <row r="49" spans="1:1" x14ac:dyDescent="0.35">
      <c r="A49" s="8" t="s">
        <v>314</v>
      </c>
    </row>
    <row r="50" spans="1:1" x14ac:dyDescent="0.35">
      <c r="A50" s="8" t="s">
        <v>315</v>
      </c>
    </row>
    <row r="51" spans="1:1" x14ac:dyDescent="0.35">
      <c r="A51" s="8" t="s">
        <v>316</v>
      </c>
    </row>
    <row r="52" spans="1:1" x14ac:dyDescent="0.35">
      <c r="A52" s="8" t="s">
        <v>317</v>
      </c>
    </row>
    <row r="53" spans="1:1" x14ac:dyDescent="0.35">
      <c r="A53" s="8" t="s">
        <v>318</v>
      </c>
    </row>
    <row r="54" spans="1:1" x14ac:dyDescent="0.35">
      <c r="A54" s="8" t="s">
        <v>319</v>
      </c>
    </row>
    <row r="55" spans="1:1" x14ac:dyDescent="0.35">
      <c r="A55" s="8" t="s">
        <v>320</v>
      </c>
    </row>
    <row r="56" spans="1:1" x14ac:dyDescent="0.35">
      <c r="A56" s="8" t="s">
        <v>321</v>
      </c>
    </row>
    <row r="57" spans="1:1" x14ac:dyDescent="0.35">
      <c r="A57" s="8" t="s">
        <v>322</v>
      </c>
    </row>
    <row r="58" spans="1:1" x14ac:dyDescent="0.35">
      <c r="A58" s="8" t="s">
        <v>323</v>
      </c>
    </row>
    <row r="59" spans="1:1" x14ac:dyDescent="0.35">
      <c r="A59" s="8" t="s">
        <v>324</v>
      </c>
    </row>
    <row r="60" spans="1:1" x14ac:dyDescent="0.35">
      <c r="A60" s="8" t="s">
        <v>325</v>
      </c>
    </row>
    <row r="61" spans="1:1" x14ac:dyDescent="0.35">
      <c r="A61" s="8" t="s">
        <v>326</v>
      </c>
    </row>
    <row r="62" spans="1:1" x14ac:dyDescent="0.35">
      <c r="A62" s="8" t="s">
        <v>327</v>
      </c>
    </row>
    <row r="63" spans="1:1" x14ac:dyDescent="0.35">
      <c r="A63" s="8" t="s">
        <v>328</v>
      </c>
    </row>
    <row r="64" spans="1:1" x14ac:dyDescent="0.35">
      <c r="A64" s="8" t="s">
        <v>329</v>
      </c>
    </row>
    <row r="65" spans="1:1" x14ac:dyDescent="0.35">
      <c r="A65" s="8" t="s">
        <v>330</v>
      </c>
    </row>
    <row r="66" spans="1:1" x14ac:dyDescent="0.35">
      <c r="A66" s="8" t="s">
        <v>331</v>
      </c>
    </row>
    <row r="67" spans="1:1" x14ac:dyDescent="0.35">
      <c r="A67" s="8" t="s">
        <v>332</v>
      </c>
    </row>
    <row r="68" spans="1:1" x14ac:dyDescent="0.35">
      <c r="A68" s="8" t="s">
        <v>333</v>
      </c>
    </row>
    <row r="69" spans="1:1" x14ac:dyDescent="0.35">
      <c r="A69" s="8" t="s">
        <v>334</v>
      </c>
    </row>
    <row r="70" spans="1:1" x14ac:dyDescent="0.35">
      <c r="A70" s="8"/>
    </row>
    <row r="71" spans="1:1" x14ac:dyDescent="0.35">
      <c r="A71" s="8" t="s">
        <v>335</v>
      </c>
    </row>
    <row r="72" spans="1:1" x14ac:dyDescent="0.35">
      <c r="A72" s="8" t="s">
        <v>336</v>
      </c>
    </row>
    <row r="73" spans="1:1" x14ac:dyDescent="0.35">
      <c r="A73" s="8" t="s">
        <v>337</v>
      </c>
    </row>
    <row r="74" spans="1:1" x14ac:dyDescent="0.35">
      <c r="A74" s="8" t="s">
        <v>338</v>
      </c>
    </row>
    <row r="75" spans="1:1" x14ac:dyDescent="0.35">
      <c r="A75" s="8" t="s">
        <v>339</v>
      </c>
    </row>
    <row r="76" spans="1:1" x14ac:dyDescent="0.35">
      <c r="A76" s="8" t="s">
        <v>340</v>
      </c>
    </row>
    <row r="77" spans="1:1" x14ac:dyDescent="0.35">
      <c r="A77" s="8" t="s">
        <v>341</v>
      </c>
    </row>
    <row r="78" spans="1:1" x14ac:dyDescent="0.35">
      <c r="A78" s="8" t="s">
        <v>342</v>
      </c>
    </row>
    <row r="79" spans="1:1" x14ac:dyDescent="0.35">
      <c r="A79" s="8" t="s">
        <v>343</v>
      </c>
    </row>
    <row r="80" spans="1:1" x14ac:dyDescent="0.35">
      <c r="A80" s="8" t="s">
        <v>344</v>
      </c>
    </row>
    <row r="81" spans="1:1" x14ac:dyDescent="0.35">
      <c r="A81" s="8" t="s">
        <v>321</v>
      </c>
    </row>
    <row r="82" spans="1:1" x14ac:dyDescent="0.35">
      <c r="A82" s="8" t="s">
        <v>345</v>
      </c>
    </row>
    <row r="83" spans="1:1" x14ac:dyDescent="0.35">
      <c r="A83" s="8" t="s">
        <v>346</v>
      </c>
    </row>
    <row r="84" spans="1:1" x14ac:dyDescent="0.35">
      <c r="A84" s="8"/>
    </row>
    <row r="85" spans="1:1" x14ac:dyDescent="0.35">
      <c r="A85" s="8" t="s">
        <v>347</v>
      </c>
    </row>
    <row r="86" spans="1:1" x14ac:dyDescent="0.35">
      <c r="A86" s="8" t="s">
        <v>348</v>
      </c>
    </row>
    <row r="87" spans="1:1" x14ac:dyDescent="0.35">
      <c r="A87" s="8" t="s">
        <v>349</v>
      </c>
    </row>
    <row r="88" spans="1:1" x14ac:dyDescent="0.35">
      <c r="A88" s="8" t="s">
        <v>350</v>
      </c>
    </row>
    <row r="89" spans="1:1" x14ac:dyDescent="0.35">
      <c r="A89" s="8" t="s">
        <v>351</v>
      </c>
    </row>
    <row r="90" spans="1:1" x14ac:dyDescent="0.35">
      <c r="A90" s="8" t="s">
        <v>352</v>
      </c>
    </row>
    <row r="91" spans="1:1" x14ac:dyDescent="0.35">
      <c r="A91" s="8" t="s">
        <v>353</v>
      </c>
    </row>
    <row r="92" spans="1:1" x14ac:dyDescent="0.35">
      <c r="A92" s="8" t="s">
        <v>354</v>
      </c>
    </row>
    <row r="93" spans="1:1" x14ac:dyDescent="0.35">
      <c r="A93" s="8" t="s">
        <v>355</v>
      </c>
    </row>
    <row r="94" spans="1:1" x14ac:dyDescent="0.35">
      <c r="A94" s="8" t="s">
        <v>296</v>
      </c>
    </row>
    <row r="95" spans="1:1" x14ac:dyDescent="0.35">
      <c r="A95" s="8"/>
    </row>
    <row r="96" spans="1:1" x14ac:dyDescent="0.35">
      <c r="A96" s="8" t="s">
        <v>356</v>
      </c>
    </row>
    <row r="97" spans="1:1" x14ac:dyDescent="0.35">
      <c r="A97" s="8" t="s">
        <v>357</v>
      </c>
    </row>
    <row r="98" spans="1:1" x14ac:dyDescent="0.35">
      <c r="A98" s="8" t="s">
        <v>358</v>
      </c>
    </row>
    <row r="99" spans="1:1" x14ac:dyDescent="0.35">
      <c r="A99" s="8" t="s">
        <v>359</v>
      </c>
    </row>
    <row r="100" spans="1:1" x14ac:dyDescent="0.35">
      <c r="A100" s="8" t="s">
        <v>360</v>
      </c>
    </row>
    <row r="101" spans="1:1" x14ac:dyDescent="0.35">
      <c r="A101" s="8" t="s">
        <v>361</v>
      </c>
    </row>
    <row r="102" spans="1:1" x14ac:dyDescent="0.35">
      <c r="A102" s="8" t="s">
        <v>362</v>
      </c>
    </row>
    <row r="103" spans="1:1" x14ac:dyDescent="0.35">
      <c r="A103" s="8" t="s">
        <v>363</v>
      </c>
    </row>
    <row r="104" spans="1:1" x14ac:dyDescent="0.35">
      <c r="A104" s="8" t="s">
        <v>287</v>
      </c>
    </row>
    <row r="105" spans="1:1" x14ac:dyDescent="0.35">
      <c r="A105" s="8" t="s">
        <v>364</v>
      </c>
    </row>
    <row r="106" spans="1:1" x14ac:dyDescent="0.35">
      <c r="A106" s="8" t="s">
        <v>365</v>
      </c>
    </row>
    <row r="107" spans="1:1" x14ac:dyDescent="0.35">
      <c r="A107" s="8"/>
    </row>
    <row r="108" spans="1:1" x14ac:dyDescent="0.35">
      <c r="A108" s="8"/>
    </row>
    <row r="109" spans="1:1" x14ac:dyDescent="0.35">
      <c r="A109" s="8" t="s">
        <v>366</v>
      </c>
    </row>
    <row r="110" spans="1:1" x14ac:dyDescent="0.35">
      <c r="A110" s="8" t="s">
        <v>367</v>
      </c>
    </row>
    <row r="111" spans="1:1" x14ac:dyDescent="0.35">
      <c r="A111" s="8" t="s">
        <v>366</v>
      </c>
    </row>
    <row r="112" spans="1:1" x14ac:dyDescent="0.35">
      <c r="A112" s="8"/>
    </row>
    <row r="113" spans="1:1" x14ac:dyDescent="0.35">
      <c r="A113" s="8" t="s">
        <v>276</v>
      </c>
    </row>
    <row r="114" spans="1:1" x14ac:dyDescent="0.35">
      <c r="A114" s="8" t="s">
        <v>368</v>
      </c>
    </row>
    <row r="115" spans="1:1" x14ac:dyDescent="0.35">
      <c r="A115" s="8" t="s">
        <v>369</v>
      </c>
    </row>
    <row r="116" spans="1:1" x14ac:dyDescent="0.35">
      <c r="A116" s="8" t="s">
        <v>370</v>
      </c>
    </row>
    <row r="117" spans="1:1" x14ac:dyDescent="0.35">
      <c r="A117" s="8" t="s">
        <v>371</v>
      </c>
    </row>
    <row r="118" spans="1:1" x14ac:dyDescent="0.35">
      <c r="A118" s="8" t="s">
        <v>287</v>
      </c>
    </row>
    <row r="119" spans="1:1" x14ac:dyDescent="0.35">
      <c r="A119" s="8"/>
    </row>
    <row r="120" spans="1:1" x14ac:dyDescent="0.35">
      <c r="A120" s="8" t="s">
        <v>372</v>
      </c>
    </row>
    <row r="121" spans="1:1" x14ac:dyDescent="0.35">
      <c r="A121" s="8" t="s">
        <v>373</v>
      </c>
    </row>
    <row r="122" spans="1:1" x14ac:dyDescent="0.35">
      <c r="A122" s="8" t="s">
        <v>287</v>
      </c>
    </row>
    <row r="123" spans="1:1" x14ac:dyDescent="0.35">
      <c r="A123" s="8" t="s">
        <v>374</v>
      </c>
    </row>
    <row r="124" spans="1:1" x14ac:dyDescent="0.35">
      <c r="A124" s="8" t="s">
        <v>287</v>
      </c>
    </row>
    <row r="125" spans="1:1" x14ac:dyDescent="0.35">
      <c r="A125" s="8" t="s">
        <v>375</v>
      </c>
    </row>
    <row r="126" spans="1:1" x14ac:dyDescent="0.35">
      <c r="A126" s="8" t="s">
        <v>365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12</vt:i4>
      </vt:variant>
    </vt:vector>
  </HeadingPairs>
  <TitlesOfParts>
    <vt:vector size="17" baseType="lpstr">
      <vt:lpstr>Sheet1</vt:lpstr>
      <vt:lpstr>Decomposition</vt:lpstr>
      <vt:lpstr>SKILL</vt:lpstr>
      <vt:lpstr>SKILL_PY</vt:lpstr>
      <vt:lpstr>SKILL_JS</vt:lpstr>
      <vt:lpstr>bps_dish</vt:lpstr>
      <vt:lpstr>bps_fab_en</vt:lpstr>
      <vt:lpstr>bps_liquid</vt:lpstr>
      <vt:lpstr>bps_powder</vt:lpstr>
      <vt:lpstr>cont_dish</vt:lpstr>
      <vt:lpstr>cont_fab_en</vt:lpstr>
      <vt:lpstr>cont_liquid</vt:lpstr>
      <vt:lpstr>cont_powder</vt:lpstr>
      <vt:lpstr>growth_pct_dish</vt:lpstr>
      <vt:lpstr>growth_pct_fab_en</vt:lpstr>
      <vt:lpstr>growth_pct_liquid</vt:lpstr>
      <vt:lpstr>growth_pct_powder</vt:lpstr>
    </vt:vector>
  </TitlesOfParts>
  <Company>Unilever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Haeranyikanon, Teerapat</dc:creator>
  <cp:lastModifiedBy>Haeranyikanon, Teerapat</cp:lastModifiedBy>
  <dcterms:created xsi:type="dcterms:W3CDTF">2026-09-02T07:40:01Z</dcterms:created>
  <dcterms:modified xsi:type="dcterms:W3CDTF">2026-09-03T10:02:49Z</dcterms:modified>
</cp:coreProperties>
</file>