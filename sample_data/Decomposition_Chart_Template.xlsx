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ever-my.sharepoint.com/personal/teerapat_haeranyikanon_unilever_com/Documents/CCBT/"/>
    </mc:Choice>
  </mc:AlternateContent>
  <xr:revisionPtr revIDLastSave="648" documentId="8_{50E2FEDE-D0C9-442C-BD83-3FDEC3B1BE2D}" xr6:coauthVersionLast="47" xr6:coauthVersionMax="47" xr10:uidLastSave="{E7EC48A4-0CFD-4B01-B07A-B8E3AE6DF2A0}"/>
  <bookViews>
    <workbookView xWindow="-108" yWindow="-108" windowWidth="23256" windowHeight="12456" xr2:uid="{8F588ADA-EE48-44F6-933E-9E65F035AA4B}"/>
  </bookViews>
  <sheets>
    <sheet name="Import" sheetId="7" r:id="rId1"/>
    <sheet name="DW Decomp" sheetId="9" r:id="rId2"/>
    <sheet name="FAB ENH Decomp" sheetId="10" r:id="rId3"/>
    <sheet name="LIQUID Decomp" sheetId="11" r:id="rId4"/>
    <sheet name="POWDER Decomp" sheetId="12" r:id="rId5"/>
  </sheets>
  <definedNames>
    <definedName name="ExternalData_1" localSheetId="0" hidden="1">Import!$A$3:$E$8</definedName>
    <definedName name="ExternalData_13" localSheetId="0" hidden="1">Import!$S$3:$W$8</definedName>
    <definedName name="ExternalData_14" localSheetId="0" hidden="1">Import!$S$10:$W$15</definedName>
    <definedName name="ExternalData_15" localSheetId="0" hidden="1">Import!$S$17:$W$22</definedName>
    <definedName name="ExternalData_16" localSheetId="0" hidden="1">Import!$S$24:$W$29</definedName>
    <definedName name="ExternalData_17" localSheetId="0" hidden="1">Import!$M$3:$Q$8</definedName>
    <definedName name="ExternalData_18" localSheetId="0" hidden="1">Import!$M$10:$Q$15</definedName>
    <definedName name="ExternalData_19" localSheetId="0" hidden="1">Import!$M$17:$Q$22</definedName>
    <definedName name="ExternalData_2" localSheetId="0" hidden="1">Import!$A$10:$E$15</definedName>
    <definedName name="ExternalData_20" localSheetId="0" hidden="1">Import!$M$24:$Q$29</definedName>
    <definedName name="ExternalData_3" localSheetId="0" hidden="1">Import!$A$17:$E$22</definedName>
    <definedName name="ExternalData_4" localSheetId="0" hidden="1">Import!$A$24:$E$29</definedName>
    <definedName name="ExternalData_5" localSheetId="0" hidden="1">Import!$G$3:$K$8</definedName>
    <definedName name="ExternalData_6" localSheetId="0" hidden="1">Import!$G$10:$K$15</definedName>
    <definedName name="ExternalData_7" localSheetId="0" hidden="1">Import!$G$17:$K$22</definedName>
    <definedName name="ExternalData_8" localSheetId="0" hidden="1">Import!$G$24:$K$29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W7" i="12" l="1"/>
  <c r="BV7" i="12"/>
  <c r="BU7" i="12"/>
  <c r="BT7" i="12"/>
  <c r="BW6" i="12"/>
  <c r="BV6" i="12"/>
  <c r="BU6" i="12"/>
  <c r="BT6" i="12"/>
  <c r="BW5" i="12"/>
  <c r="BV5" i="12"/>
  <c r="BU5" i="12"/>
  <c r="BT5" i="12"/>
  <c r="BW4" i="12"/>
  <c r="BV4" i="12"/>
  <c r="BU4" i="12"/>
  <c r="BT4" i="12"/>
  <c r="BW3" i="12"/>
  <c r="BV3" i="12"/>
  <c r="BU3" i="12"/>
  <c r="BT3" i="12"/>
  <c r="BS7" i="12"/>
  <c r="BR7" i="12"/>
  <c r="BQ7" i="12"/>
  <c r="BP7" i="12"/>
  <c r="BS6" i="12"/>
  <c r="BR6" i="12"/>
  <c r="BQ6" i="12"/>
  <c r="BP6" i="12"/>
  <c r="BS5" i="12"/>
  <c r="BR5" i="12"/>
  <c r="BQ5" i="12"/>
  <c r="BP5" i="12"/>
  <c r="BS4" i="12"/>
  <c r="BR4" i="12"/>
  <c r="BQ4" i="12"/>
  <c r="BP4" i="12"/>
  <c r="BS3" i="12"/>
  <c r="BR3" i="12"/>
  <c r="BQ3" i="12"/>
  <c r="BP3" i="12"/>
  <c r="BO7" i="12"/>
  <c r="BN7" i="12"/>
  <c r="BM7" i="12"/>
  <c r="BL7" i="12"/>
  <c r="BO6" i="12"/>
  <c r="BN6" i="12"/>
  <c r="BM6" i="12"/>
  <c r="BL6" i="12"/>
  <c r="BO5" i="12"/>
  <c r="BN5" i="12"/>
  <c r="BM5" i="12"/>
  <c r="BL5" i="12"/>
  <c r="BO4" i="12"/>
  <c r="BN4" i="12"/>
  <c r="BM4" i="12"/>
  <c r="BL4" i="12"/>
  <c r="BO3" i="12"/>
  <c r="BN3" i="12"/>
  <c r="BM3" i="12"/>
  <c r="BL3" i="12"/>
  <c r="BK7" i="12"/>
  <c r="BJ7" i="12"/>
  <c r="BI7" i="12"/>
  <c r="BH7" i="12"/>
  <c r="BK6" i="12"/>
  <c r="BJ6" i="12"/>
  <c r="BI6" i="12"/>
  <c r="BH6" i="12"/>
  <c r="BK5" i="12"/>
  <c r="BJ5" i="12"/>
  <c r="BI5" i="12"/>
  <c r="BH5" i="12"/>
  <c r="BK4" i="12"/>
  <c r="BJ4" i="12"/>
  <c r="BI4" i="12"/>
  <c r="BH4" i="12"/>
  <c r="BK3" i="12"/>
  <c r="BJ3" i="12"/>
  <c r="BI3" i="12"/>
  <c r="BH3" i="12"/>
  <c r="BG7" i="12"/>
  <c r="BF7" i="12"/>
  <c r="BE7" i="12"/>
  <c r="BD7" i="12"/>
  <c r="BG6" i="12"/>
  <c r="BF6" i="12"/>
  <c r="BE6" i="12"/>
  <c r="BD6" i="12"/>
  <c r="BG5" i="12"/>
  <c r="BF5" i="12"/>
  <c r="BE5" i="12"/>
  <c r="BD5" i="12"/>
  <c r="BG4" i="12"/>
  <c r="BF4" i="12"/>
  <c r="BE4" i="12"/>
  <c r="BD4" i="12"/>
  <c r="BG3" i="12"/>
  <c r="BF3" i="12"/>
  <c r="BE3" i="12"/>
  <c r="BD3" i="12"/>
  <c r="BW7" i="11"/>
  <c r="BV7" i="11"/>
  <c r="BU7" i="11"/>
  <c r="BT7" i="11"/>
  <c r="BW6" i="11"/>
  <c r="BV6" i="11"/>
  <c r="BU6" i="11"/>
  <c r="BT6" i="11"/>
  <c r="BW5" i="11"/>
  <c r="BV5" i="11"/>
  <c r="BU5" i="11"/>
  <c r="BT5" i="11"/>
  <c r="BW4" i="11"/>
  <c r="BV4" i="11"/>
  <c r="BU4" i="11"/>
  <c r="BT4" i="11"/>
  <c r="BW3" i="11"/>
  <c r="BV3" i="11"/>
  <c r="BU3" i="11"/>
  <c r="BT3" i="11"/>
  <c r="BS7" i="11"/>
  <c r="BR7" i="11"/>
  <c r="BQ7" i="11"/>
  <c r="BP7" i="11"/>
  <c r="BS6" i="11"/>
  <c r="BR6" i="11"/>
  <c r="BQ6" i="11"/>
  <c r="BP6" i="11"/>
  <c r="BS5" i="11"/>
  <c r="BR5" i="11"/>
  <c r="BQ5" i="11"/>
  <c r="BP5" i="11"/>
  <c r="BS4" i="11"/>
  <c r="BR4" i="11"/>
  <c r="BQ4" i="11"/>
  <c r="BP4" i="11"/>
  <c r="BS3" i="11"/>
  <c r="BR3" i="11"/>
  <c r="BQ3" i="11"/>
  <c r="BP3" i="11"/>
  <c r="BO7" i="11"/>
  <c r="BN7" i="11"/>
  <c r="BM7" i="11"/>
  <c r="BL7" i="11"/>
  <c r="BO6" i="11"/>
  <c r="BN6" i="11"/>
  <c r="BM6" i="11"/>
  <c r="BL6" i="11"/>
  <c r="BO5" i="11"/>
  <c r="BN5" i="11"/>
  <c r="BM5" i="11"/>
  <c r="BL5" i="11"/>
  <c r="BO4" i="11"/>
  <c r="BN4" i="11"/>
  <c r="BM4" i="11"/>
  <c r="BL4" i="11"/>
  <c r="BO3" i="11"/>
  <c r="BN3" i="11"/>
  <c r="BM3" i="11"/>
  <c r="BL3" i="11"/>
  <c r="BK7" i="11"/>
  <c r="BJ7" i="11"/>
  <c r="BI7" i="11"/>
  <c r="BH7" i="11"/>
  <c r="BK6" i="11"/>
  <c r="BJ6" i="11"/>
  <c r="BI6" i="11"/>
  <c r="BH6" i="11"/>
  <c r="BK5" i="11"/>
  <c r="BJ5" i="11"/>
  <c r="BI5" i="11"/>
  <c r="BH5" i="11"/>
  <c r="BK4" i="11"/>
  <c r="BJ4" i="11"/>
  <c r="BI4" i="11"/>
  <c r="BH4" i="11"/>
  <c r="BK3" i="11"/>
  <c r="BJ3" i="11"/>
  <c r="BI3" i="11"/>
  <c r="BH3" i="11"/>
  <c r="BG7" i="11"/>
  <c r="BF7" i="11"/>
  <c r="BE7" i="11"/>
  <c r="BD7" i="11"/>
  <c r="BG6" i="11"/>
  <c r="BF6" i="11"/>
  <c r="BE6" i="11"/>
  <c r="BD6" i="11"/>
  <c r="BG5" i="11"/>
  <c r="BF5" i="11"/>
  <c r="BE5" i="11"/>
  <c r="BD5" i="11"/>
  <c r="BG4" i="11"/>
  <c r="BF4" i="11"/>
  <c r="BE4" i="11"/>
  <c r="BD4" i="11"/>
  <c r="BG3" i="11"/>
  <c r="BF3" i="11"/>
  <c r="BE3" i="11"/>
  <c r="BD3" i="11"/>
  <c r="BW7" i="10"/>
  <c r="BV7" i="10"/>
  <c r="BU7" i="10"/>
  <c r="BT7" i="10"/>
  <c r="BW6" i="10"/>
  <c r="BV6" i="10"/>
  <c r="BU6" i="10"/>
  <c r="BT6" i="10"/>
  <c r="BW5" i="10"/>
  <c r="BV5" i="10"/>
  <c r="BU5" i="10"/>
  <c r="BT5" i="10"/>
  <c r="BW4" i="10"/>
  <c r="BV4" i="10"/>
  <c r="BU4" i="10"/>
  <c r="BT4" i="10"/>
  <c r="BW3" i="10"/>
  <c r="BV3" i="10"/>
  <c r="BU3" i="10"/>
  <c r="BT3" i="10"/>
  <c r="BS7" i="10"/>
  <c r="BR7" i="10"/>
  <c r="BQ7" i="10"/>
  <c r="BP7" i="10"/>
  <c r="BS6" i="10"/>
  <c r="BR6" i="10"/>
  <c r="BQ6" i="10"/>
  <c r="BP6" i="10"/>
  <c r="BS5" i="10"/>
  <c r="BR5" i="10"/>
  <c r="BQ5" i="10"/>
  <c r="BP5" i="10"/>
  <c r="BS4" i="10"/>
  <c r="BR4" i="10"/>
  <c r="BQ4" i="10"/>
  <c r="BP4" i="10"/>
  <c r="BS3" i="10"/>
  <c r="BR3" i="10"/>
  <c r="BQ3" i="10"/>
  <c r="BP3" i="10"/>
  <c r="BO7" i="10"/>
  <c r="BN7" i="10"/>
  <c r="BM7" i="10"/>
  <c r="BL7" i="10"/>
  <c r="BO6" i="10"/>
  <c r="BN6" i="10"/>
  <c r="BM6" i="10"/>
  <c r="BL6" i="10"/>
  <c r="BO5" i="10"/>
  <c r="BN5" i="10"/>
  <c r="BM5" i="10"/>
  <c r="BL5" i="10"/>
  <c r="BO4" i="10"/>
  <c r="BN4" i="10"/>
  <c r="BM4" i="10"/>
  <c r="BL4" i="10"/>
  <c r="BO3" i="10"/>
  <c r="BN3" i="10"/>
  <c r="BM3" i="10"/>
  <c r="BL3" i="10"/>
  <c r="BK7" i="10"/>
  <c r="BJ7" i="10"/>
  <c r="BI7" i="10"/>
  <c r="BH7" i="10"/>
  <c r="BK6" i="10"/>
  <c r="BJ6" i="10"/>
  <c r="BI6" i="10"/>
  <c r="BH6" i="10"/>
  <c r="BK5" i="10"/>
  <c r="BJ5" i="10"/>
  <c r="BI5" i="10"/>
  <c r="BH5" i="10"/>
  <c r="BK4" i="10"/>
  <c r="BJ4" i="10"/>
  <c r="BI4" i="10"/>
  <c r="BH4" i="10"/>
  <c r="BK3" i="10"/>
  <c r="BJ3" i="10"/>
  <c r="BI3" i="10"/>
  <c r="BH3" i="10"/>
  <c r="BG7" i="10"/>
  <c r="BF7" i="10"/>
  <c r="BE7" i="10"/>
  <c r="BD7" i="10"/>
  <c r="BG6" i="10"/>
  <c r="BF6" i="10"/>
  <c r="BE6" i="10"/>
  <c r="BD6" i="10"/>
  <c r="BG5" i="10"/>
  <c r="BF5" i="10"/>
  <c r="BE5" i="10"/>
  <c r="BD5" i="10"/>
  <c r="BG4" i="10"/>
  <c r="BF4" i="10"/>
  <c r="BE4" i="10"/>
  <c r="BD4" i="10"/>
  <c r="BG3" i="10"/>
  <c r="BF3" i="10"/>
  <c r="BE3" i="10"/>
  <c r="BD3" i="10"/>
  <c r="BW7" i="9"/>
  <c r="BV7" i="9"/>
  <c r="BU7" i="9"/>
  <c r="BT7" i="9"/>
  <c r="BW6" i="9"/>
  <c r="BV6" i="9"/>
  <c r="BU6" i="9"/>
  <c r="BT6" i="9"/>
  <c r="BW5" i="9"/>
  <c r="BV5" i="9"/>
  <c r="BU5" i="9"/>
  <c r="BT5" i="9"/>
  <c r="BW4" i="9"/>
  <c r="BV4" i="9"/>
  <c r="BU4" i="9"/>
  <c r="BT4" i="9"/>
  <c r="BW3" i="9"/>
  <c r="BV3" i="9"/>
  <c r="BU3" i="9"/>
  <c r="BT3" i="9"/>
  <c r="BS7" i="9"/>
  <c r="BR7" i="9"/>
  <c r="BQ7" i="9"/>
  <c r="BP7" i="9"/>
  <c r="BS6" i="9"/>
  <c r="BR6" i="9"/>
  <c r="BQ6" i="9"/>
  <c r="BP6" i="9"/>
  <c r="BS5" i="9"/>
  <c r="BR5" i="9"/>
  <c r="BQ5" i="9"/>
  <c r="BP5" i="9"/>
  <c r="BS4" i="9"/>
  <c r="BR4" i="9"/>
  <c r="BQ4" i="9"/>
  <c r="BP4" i="9"/>
  <c r="BS3" i="9"/>
  <c r="BR3" i="9"/>
  <c r="BQ3" i="9"/>
  <c r="BP3" i="9"/>
  <c r="BO7" i="9"/>
  <c r="BN7" i="9"/>
  <c r="BM7" i="9"/>
  <c r="BL7" i="9"/>
  <c r="BO6" i="9"/>
  <c r="BN6" i="9"/>
  <c r="BM6" i="9"/>
  <c r="BL6" i="9"/>
  <c r="BO5" i="9"/>
  <c r="BN5" i="9"/>
  <c r="BM5" i="9"/>
  <c r="BL5" i="9"/>
  <c r="BO4" i="9"/>
  <c r="BN4" i="9"/>
  <c r="BM4" i="9"/>
  <c r="BL4" i="9"/>
  <c r="BO3" i="9"/>
  <c r="BN3" i="9"/>
  <c r="BM3" i="9"/>
  <c r="BL3" i="9"/>
  <c r="BK7" i="9"/>
  <c r="BJ7" i="9"/>
  <c r="BI7" i="9"/>
  <c r="BH7" i="9"/>
  <c r="BK6" i="9"/>
  <c r="BJ6" i="9"/>
  <c r="BI6" i="9"/>
  <c r="BH6" i="9"/>
  <c r="BK5" i="9"/>
  <c r="BJ5" i="9"/>
  <c r="BI5" i="9"/>
  <c r="BH5" i="9"/>
  <c r="BK4" i="9"/>
  <c r="BJ4" i="9"/>
  <c r="BI4" i="9"/>
  <c r="BH4" i="9"/>
  <c r="BK3" i="9"/>
  <c r="BJ3" i="9"/>
  <c r="BI3" i="9"/>
  <c r="BH3" i="9"/>
  <c r="BG7" i="9"/>
  <c r="BF7" i="9"/>
  <c r="BE7" i="9"/>
  <c r="BD7" i="9"/>
  <c r="BG6" i="9"/>
  <c r="BF6" i="9"/>
  <c r="BE6" i="9"/>
  <c r="BD6" i="9"/>
  <c r="BG5" i="9"/>
  <c r="BF5" i="9"/>
  <c r="BE5" i="9"/>
  <c r="BD5" i="9"/>
  <c r="BG4" i="9"/>
  <c r="BF4" i="9"/>
  <c r="BE4" i="9"/>
  <c r="BD4" i="9"/>
  <c r="BG3" i="9"/>
  <c r="BF3" i="9"/>
  <c r="BE3" i="9"/>
  <c r="BD3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0E72F5-B2DD-45B4-A9EE-62B05A89F0E2}" keepAlive="1" name="Query - bps_dw" description="Connection to the 'bps_dw' query in the workbook." type="5" refreshedVersion="8" background="1" saveData="1">
    <dbPr connection="Provider=Microsoft.Mashup.OleDb.1;Data Source=$Workbook$;Location=bps_dw;Extended Properties=&quot;&quot;" command="SELECT * FROM [bps_dw]"/>
  </connection>
  <connection id="2" xr16:uid="{BBA8901D-6C7C-441D-AB2F-23E67FDA7764}" keepAlive="1" name="Query - bps_fab_enh" description="Connection to the 'bps_fab_enh' query in the workbook." type="5" refreshedVersion="8" background="1" saveData="1">
    <dbPr connection="Provider=Microsoft.Mashup.OleDb.1;Data Source=$Workbook$;Location=bps_fab_enh;Extended Properties=&quot;&quot;" command="SELECT * FROM [bps_fab_enh]"/>
  </connection>
  <connection id="3" xr16:uid="{0D7D1E38-FACE-4CE3-868E-D26967F380DF}" keepAlive="1" name="Query - bps_liquid" description="Connection to the 'bps_liquid' query in the workbook." type="5" refreshedVersion="8" background="1" saveData="1">
    <dbPr connection="Provider=Microsoft.Mashup.OleDb.1;Data Source=$Workbook$;Location=bps_liquid;Extended Properties=&quot;&quot;" command="SELECT * FROM [bps_liquid]"/>
  </connection>
  <connection id="4" xr16:uid="{9BBEBBF2-2AD5-4EA5-8079-DC0F9EB00164}" keepAlive="1" name="Query - bps_powder" description="Connection to the 'bps_powder' query in the workbook." type="5" refreshedVersion="8" background="1" saveData="1">
    <dbPr connection="Provider=Microsoft.Mashup.OleDb.1;Data Source=$Workbook$;Location=bps_powder;Extended Properties=&quot;&quot;" command="SELECT * FROM [bps_powder]"/>
  </connection>
  <connection id="5" xr16:uid="{BB030F1D-646C-4A7B-BCFE-1DF578626D96}" keepAlive="1" name="Query - contribution_dw" description="Connection to the 'contribution_dw' query in the workbook." type="5" refreshedVersion="8" background="1" saveData="1">
    <dbPr connection="Provider=Microsoft.Mashup.OleDb.1;Data Source=$Workbook$;Location=contribution_dw;Extended Properties=&quot;&quot;" command="SELECT * FROM [contribution_dw]"/>
  </connection>
  <connection id="6" xr16:uid="{DAAAEF5A-1560-4B84-A5D5-525ABDF67B2D}" keepAlive="1" name="Query - contribution_fab_enh" description="Connection to the 'contribution_fab_enh' query in the workbook." type="5" refreshedVersion="8" background="1" saveData="1">
    <dbPr connection="Provider=Microsoft.Mashup.OleDb.1;Data Source=$Workbook$;Location=contribution_fab_enh;Extended Properties=&quot;&quot;" command="SELECT * FROM [contribution_fab_enh]"/>
  </connection>
  <connection id="7" xr16:uid="{56CBFDC0-77BF-40C7-9EA8-FC8C7B0BBDEC}" keepAlive="1" name="Query - contribution_liquid" description="Connection to the 'contribution_liquid' query in the workbook." type="5" refreshedVersion="8" background="1" saveData="1">
    <dbPr connection="Provider=Microsoft.Mashup.OleDb.1;Data Source=$Workbook$;Location=contribution_liquid;Extended Properties=&quot;&quot;" command="SELECT * FROM [contribution_liquid]"/>
  </connection>
  <connection id="8" xr16:uid="{6F90AFC5-B019-47F2-9B16-E98C627FFCB9}" keepAlive="1" name="Query - contribution_powder" description="Connection to the 'contribution_powder' query in the workbook." type="5" refreshedVersion="8" background="1" saveData="1">
    <dbPr connection="Provider=Microsoft.Mashup.OleDb.1;Data Source=$Workbook$;Location=contribution_powder;Extended Properties=&quot;&quot;" command="SELECT * FROM [contribution_powder]"/>
  </connection>
  <connection id="9" xr16:uid="{33987F2C-A487-4C24-B75F-31C748861641}" keepAlive="1" name="Query - growth_dw" description="Connection to the 'growth_dw' query in the workbook." type="5" refreshedVersion="8" background="1" saveData="1">
    <dbPr connection="Provider=Microsoft.Mashup.OleDb.1;Data Source=$Workbook$;Location=growth_dw;Extended Properties=&quot;&quot;" command="SELECT * FROM [growth_dw]"/>
  </connection>
  <connection id="10" xr16:uid="{A2018E24-7919-4364-A3E8-6902C6C01B05}" keepAlive="1" name="Query - growth_fab_enh" description="Connection to the 'growth_fab_enh' query in the workbook." type="5" refreshedVersion="8" background="1" saveData="1">
    <dbPr connection="Provider=Microsoft.Mashup.OleDb.1;Data Source=$Workbook$;Location=growth_fab_enh;Extended Properties=&quot;&quot;" command="SELECT * FROM [growth_fab_enh]"/>
  </connection>
  <connection id="11" xr16:uid="{D8951841-D15C-4B48-80FB-4E372B1B5A89}" keepAlive="1" name="Query - growth_liquid" description="Connection to the 'growth_liquid' query in the workbook." type="5" refreshedVersion="8" background="1" saveData="1">
    <dbPr connection="Provider=Microsoft.Mashup.OleDb.1;Data Source=$Workbook$;Location=growth_liquid;Extended Properties=&quot;&quot;" command="SELECT * FROM [growth_liquid]"/>
  </connection>
  <connection id="12" xr16:uid="{2D5E15F1-A5B8-4F75-A99E-31F6A04DA295}" keepAlive="1" name="Query - growth_powder" description="Connection to the 'growth_powder' query in the workbook." type="5" refreshedVersion="8" background="1" saveData="1">
    <dbPr connection="Provider=Microsoft.Mashup.OleDb.1;Data Source=$Workbook$;Location=growth_powder;Extended Properties=&quot;&quot;" command="SELECT * FROM [growth_powder]"/>
  </connection>
  <connection id="13" xr16:uid="{CFDCECE5-9D3D-4A41-9AAE-A0EBABD05EC5}" keepAlive="1" name="Query - label_dish" description="Connection to the 'label_dish' query in the workbook." type="5" refreshedVersion="8" background="1" saveData="1">
    <dbPr connection="Provider=Microsoft.Mashup.OleDb.1;Data Source=$Workbook$;Location=label_dish;Extended Properties=&quot;&quot;" command="SELECT * FROM [label_dish]"/>
  </connection>
  <connection id="14" xr16:uid="{35B61F4D-A474-4809-BEE6-3A63750D584C}" keepAlive="1" name="Query - label_fab_en" description="Connection to the 'label_fab_en' query in the workbook." type="5" refreshedVersion="8" background="1" saveData="1">
    <dbPr connection="Provider=Microsoft.Mashup.OleDb.1;Data Source=$Workbook$;Location=label_fab_en;Extended Properties=&quot;&quot;" command="SELECT * FROM [label_fab_en]"/>
  </connection>
  <connection id="15" xr16:uid="{1B800B5D-E36C-4F49-99F5-9EF6E5562B6B}" keepAlive="1" name="Query - label_liquid" description="Connection to the 'label_liquid' query in the workbook." type="5" refreshedVersion="8" background="1" saveData="1">
    <dbPr connection="Provider=Microsoft.Mashup.OleDb.1;Data Source=$Workbook$;Location=label_liquid;Extended Properties=&quot;&quot;" command="SELECT * FROM [label_liquid]"/>
  </connection>
  <connection id="16" xr16:uid="{82689ED8-6052-4656-B812-F5F576F004A6}" keepAlive="1" name="Query - label_powder" description="Connection to the 'label_powder' query in the workbook." type="5" refreshedVersion="8" background="1" saveData="1">
    <dbPr connection="Provider=Microsoft.Mashup.OleDb.1;Data Source=$Workbook$;Location=label_powder;Extended Properties=&quot;&quot;" command="SELECT * FROM [label_powder]"/>
  </connection>
</connections>
</file>

<file path=xl/sharedStrings.xml><?xml version="1.0" encoding="utf-8"?>
<sst xmlns="http://schemas.openxmlformats.org/spreadsheetml/2006/main" count="265" uniqueCount="109">
  <si>
    <t>Total TH</t>
  </si>
  <si>
    <t>Channel</t>
  </si>
  <si>
    <t>Price</t>
  </si>
  <si>
    <t>Region</t>
  </si>
  <si>
    <t>Packsize</t>
  </si>
  <si>
    <t>DW</t>
  </si>
  <si>
    <t>SH CHAIN</t>
  </si>
  <si>
    <t>Tier1</t>
  </si>
  <si>
    <t>GBKK</t>
  </si>
  <si>
    <t>S</t>
  </si>
  <si>
    <t>SH Online</t>
  </si>
  <si>
    <t>Tier2</t>
  </si>
  <si>
    <t>CENTRAL</t>
  </si>
  <si>
    <t>M</t>
  </si>
  <si>
    <t>OT</t>
  </si>
  <si>
    <t>Tier3</t>
  </si>
  <si>
    <t>NORTH</t>
  </si>
  <si>
    <t>L</t>
  </si>
  <si>
    <t>LMT</t>
  </si>
  <si>
    <t>Tier4</t>
  </si>
  <si>
    <t>NORTHEAST</t>
  </si>
  <si>
    <t>XL</t>
  </si>
  <si>
    <t>CVS</t>
  </si>
  <si>
    <t>SOUTH</t>
  </si>
  <si>
    <t>XXL</t>
  </si>
  <si>
    <t>FAB ENH</t>
  </si>
  <si>
    <t>LIQUID</t>
  </si>
  <si>
    <t>POWDER</t>
  </si>
  <si>
    <t>Total</t>
  </si>
  <si>
    <t>-137 bps</t>
  </si>
  <si>
    <t>-202 bps</t>
  </si>
  <si>
    <t>-270 bps</t>
  </si>
  <si>
    <t>-70 bps</t>
  </si>
  <si>
    <t>-182 bps</t>
  </si>
  <si>
    <t/>
  </si>
  <si>
    <t>39 bps</t>
  </si>
  <si>
    <t>132 bps</t>
  </si>
  <si>
    <t>-54 bps</t>
  </si>
  <si>
    <t>74 bps</t>
  </si>
  <si>
    <t>-77 bps</t>
  </si>
  <si>
    <t>1 bps</t>
  </si>
  <si>
    <t>-28 bps</t>
  </si>
  <si>
    <t>-254 bps</t>
  </si>
  <si>
    <t>260 bps</t>
  </si>
  <si>
    <t>34 bps</t>
  </si>
  <si>
    <t>225 bps</t>
  </si>
  <si>
    <t>-157 bps</t>
  </si>
  <si>
    <t>-20 bps</t>
  </si>
  <si>
    <t>47 bps</t>
  </si>
  <si>
    <t>79 bps</t>
  </si>
  <si>
    <t>-173 bps</t>
  </si>
  <si>
    <t>14 bps</t>
  </si>
  <si>
    <t>-64 bps</t>
  </si>
  <si>
    <t>5 bps</t>
  </si>
  <si>
    <t>275 bps</t>
  </si>
  <si>
    <t>31 bps</t>
  </si>
  <si>
    <t>-52 bps</t>
  </si>
  <si>
    <t>-18 bps</t>
  </si>
  <si>
    <t>-41 bps</t>
  </si>
  <si>
    <t>-7 bps</t>
  </si>
  <si>
    <t>3 bps</t>
  </si>
  <si>
    <t>32 bps</t>
  </si>
  <si>
    <t>-14 bps</t>
  </si>
  <si>
    <t>4 bps</t>
  </si>
  <si>
    <t>163 bps</t>
  </si>
  <si>
    <t>-2 bps</t>
  </si>
  <si>
    <t>242 bps</t>
  </si>
  <si>
    <t>-85 bps</t>
  </si>
  <si>
    <t>139 bps</t>
  </si>
  <si>
    <t>117 bps</t>
  </si>
  <si>
    <t>-59 bps</t>
  </si>
  <si>
    <t>8 bps</t>
  </si>
  <si>
    <t>-237 bps</t>
  </si>
  <si>
    <t>35 bps</t>
  </si>
  <si>
    <t>-49 bps</t>
  </si>
  <si>
    <t>-17 bps</t>
  </si>
  <si>
    <t>231 bps</t>
  </si>
  <si>
    <t>24 bps</t>
  </si>
  <si>
    <t>189 bps</t>
  </si>
  <si>
    <t>71 bps</t>
  </si>
  <si>
    <t>0 bps</t>
  </si>
  <si>
    <t>40 bps</t>
  </si>
  <si>
    <t>162 bps</t>
  </si>
  <si>
    <t>266 bps</t>
  </si>
  <si>
    <t>27 bps</t>
  </si>
  <si>
    <t>-44 bps</t>
  </si>
  <si>
    <t>-164 bps</t>
  </si>
  <si>
    <t>-121 bps</t>
  </si>
  <si>
    <t>-45 bps</t>
  </si>
  <si>
    <t>-87 bps</t>
  </si>
  <si>
    <t>-68 bps</t>
  </si>
  <si>
    <t>64 bps</t>
  </si>
  <si>
    <t>-109 bps</t>
  </si>
  <si>
    <t>111 bps</t>
  </si>
  <si>
    <t>92 bps</t>
  </si>
  <si>
    <t>172 bps</t>
  </si>
  <si>
    <t>52 bps</t>
  </si>
  <si>
    <t>-65 bps</t>
  </si>
  <si>
    <t>195 bps</t>
  </si>
  <si>
    <t>-177 bps</t>
  </si>
  <si>
    <t>-34 bps</t>
  </si>
  <si>
    <t>-47 bps</t>
  </si>
  <si>
    <t>Growth</t>
  </si>
  <si>
    <t>bps</t>
  </si>
  <si>
    <t>Contribution</t>
  </si>
  <si>
    <t>DW - Decomposition</t>
  </si>
  <si>
    <t>FAB ENH - Decomposition</t>
  </si>
  <si>
    <t>LIQUID - Decomposition</t>
  </si>
  <si>
    <t>POWDER - Decomposition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</si>
</sst>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20"/>
      <color rgb="FF0070C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6294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4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72560550-DC3E-496C-A298-05E0A77015AC}" autoFormatId="16" applyNumberFormats="0" applyBorderFormats="0" applyFontFormats="0" applyPatternFormats="0" applyAlignmentFormats="0" applyWidthHeightFormats="0">
  <queryTableRefresh nextId="6">
    <queryTableFields count="5">
      <queryTableField id="1" name="Total TH" tableColumnId="1"/>
      <queryTableField id="2" name="Channel" tableColumnId="2"/>
      <queryTableField id="3" name="Price" tableColumnId="3"/>
      <queryTableField id="4" name="Region" tableColumnId="4"/>
      <queryTableField id="5" name="Packsiz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4" xr16:uid="{63B5AD6F-4D09-4097-AEC8-79A0FF5C5748}" autoFormatId="16" applyNumberFormats="0" applyBorderFormats="0" applyFontFormats="0" applyPatternFormats="0" applyAlignmentFormats="0" applyWidthHeightFormats="0">
  <queryTableRefresh nextId="6">
    <queryTableFields count="5">
      <queryTableField id="1" name="Total TH" tableColumnId="1"/>
      <queryTableField id="2" name="Channel" tableColumnId="2"/>
      <queryTableField id="3" name="Price" tableColumnId="3"/>
      <queryTableField id="4" name="Region" tableColumnId="4"/>
      <queryTableField id="5" name="Packsiz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08948A62-07EA-48EF-BA69-33D29DE4FB82}" autoFormatId="16" applyNumberFormats="0" applyBorderFormats="0" applyFontFormats="0" applyPatternFormats="0" applyAlignmentFormats="0" applyWidthHeightFormats="0">
  <queryTableRefresh nextId="6">
    <queryTableFields count="5">
      <queryTableField id="1" name="Total TH" tableColumnId="1"/>
      <queryTableField id="2" name="Channel" tableColumnId="2"/>
      <queryTableField id="3" name="Price" tableColumnId="3"/>
      <queryTableField id="4" name="Region" tableColumnId="4"/>
      <queryTableField id="5" name="Packsiz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6" xr16:uid="{41B3AE61-7C83-48A0-BF65-A6C3A6C50B67}" autoFormatId="16" applyNumberFormats="0" applyBorderFormats="0" applyFontFormats="0" applyPatternFormats="0" applyAlignmentFormats="0" applyWidthHeightFormats="0">
  <queryTableRefresh nextId="6">
    <queryTableFields count="5">
      <queryTableField id="1" name="Total TH" tableColumnId="1"/>
      <queryTableField id="2" name="Channel" tableColumnId="2"/>
      <queryTableField id="3" name="Price" tableColumnId="3"/>
      <queryTableField id="4" name="Region" tableColumnId="4"/>
      <queryTableField id="5" name="Packsiz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9" xr16:uid="{10A84C0D-94BB-4D5F-A2EC-BC55CE9615EE}" autoFormatId="16" applyNumberFormats="0" applyBorderFormats="0" applyFontFormats="0" applyPatternFormats="0" applyAlignmentFormats="0" applyWidthHeightFormats="0">
  <queryTableRefresh nextId="6">
    <queryTableFields count="5">
      <queryTableField id="1" name="Total" tableColumnId="1"/>
      <queryTableField id="2" name="Channel" tableColumnId="2"/>
      <queryTableField id="3" name="Price" tableColumnId="3"/>
      <queryTableField id="4" name="Region" tableColumnId="4"/>
      <queryTableField id="5" name="Packsize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0" xr16:uid="{AF9A234E-5B7C-42E9-8BD1-00E7A558DF38}" autoFormatId="16" applyNumberFormats="0" applyBorderFormats="0" applyFontFormats="0" applyPatternFormats="0" applyAlignmentFormats="0" applyWidthHeightFormats="0">
  <queryTableRefresh nextId="6">
    <queryTableFields count="5">
      <queryTableField id="1" name="Total" tableColumnId="1"/>
      <queryTableField id="2" name="Channel" tableColumnId="2"/>
      <queryTableField id="3" name="Price" tableColumnId="3"/>
      <queryTableField id="4" name="Region" tableColumnId="4"/>
      <queryTableField id="5" name="Packsize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1" xr16:uid="{6197494F-AAD9-4BDF-9EAB-DE83208B4F89}" autoFormatId="16" applyNumberFormats="0" applyBorderFormats="0" applyFontFormats="0" applyPatternFormats="0" applyAlignmentFormats="0" applyWidthHeightFormats="0">
  <queryTableRefresh nextId="6">
    <queryTableFields count="5">
      <queryTableField id="1" name="Total" tableColumnId="1"/>
      <queryTableField id="2" name="Channel" tableColumnId="2"/>
      <queryTableField id="3" name="Price" tableColumnId="3"/>
      <queryTableField id="4" name="Region" tableColumnId="4"/>
      <queryTableField id="5" name="Packsize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2" xr16:uid="{35EE244D-56DC-4049-9ADB-258E3012F559}" autoFormatId="16" applyNumberFormats="0" applyBorderFormats="0" applyFontFormats="0" applyPatternFormats="0" applyAlignmentFormats="0" applyWidthHeightFormats="0">
  <queryTableRefresh nextId="6">
    <queryTableFields count="5">
      <queryTableField id="1" name="Total" tableColumnId="1"/>
      <queryTableField id="2" name="Channel" tableColumnId="2"/>
      <queryTableField id="3" name="Price" tableColumnId="3"/>
      <queryTableField id="4" name="Region" tableColumnId="4"/>
      <queryTableField id="5" name="Packsize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5" xr16:uid="{3F342A6F-6C87-4424-A182-F83FBFE6234C}" autoFormatId="16" applyNumberFormats="0" applyBorderFormats="0" applyFontFormats="0" applyPatternFormats="0" applyAlignmentFormats="0" applyWidthHeightFormats="0">
  <queryTableRefresh nextId="6">
    <queryTableFields count="5">
      <queryTableField id="1" name="Total TH" tableColumnId="1"/>
      <queryTableField id="2" name="Channel" tableColumnId="2"/>
      <queryTableField id="3" name="Price" tableColumnId="3"/>
      <queryTableField id="4" name="Region" tableColumnId="4"/>
      <queryTableField id="5" name="Packsize" tableColumnId="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6" xr16:uid="{1C7716D3-3BED-47DD-B59E-5278B4C55F9F}" autoFormatId="16" applyNumberFormats="0" applyBorderFormats="0" applyFontFormats="0" applyPatternFormats="0" applyAlignmentFormats="0" applyWidthHeightFormats="0">
  <queryTableRefresh nextId="6">
    <queryTableFields count="5">
      <queryTableField id="1" name="Total TH" tableColumnId="1"/>
      <queryTableField id="2" name="Channel" tableColumnId="2"/>
      <queryTableField id="3" name="Price" tableColumnId="3"/>
      <queryTableField id="4" name="Region" tableColumnId="4"/>
      <queryTableField id="5" name="Packsize" tableColumnId="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7" xr16:uid="{44567254-14EC-43AE-917B-C087CA4A413A}" autoFormatId="16" applyNumberFormats="0" applyBorderFormats="0" applyFontFormats="0" applyPatternFormats="0" applyAlignmentFormats="0" applyWidthHeightFormats="0">
  <queryTableRefresh nextId="6">
    <queryTableFields count="5">
      <queryTableField id="1" name="Total TH" tableColumnId="1"/>
      <queryTableField id="2" name="Channel" tableColumnId="2"/>
      <queryTableField id="3" name="Price" tableColumnId="3"/>
      <queryTableField id="4" name="Region" tableColumnId="4"/>
      <queryTableField id="5" name="Packsize" tableColumnId="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8" xr16:uid="{9158772B-5DF7-4571-9E49-BCB8469AEAE7}" autoFormatId="16" applyNumberFormats="0" applyBorderFormats="0" applyFontFormats="0" applyPatternFormats="0" applyAlignmentFormats="0" applyWidthHeightFormats="0">
  <queryTableRefresh nextId="6">
    <queryTableFields count="5">
      <queryTableField id="1" name="Total TH" tableColumnId="1"/>
      <queryTableField id="2" name="Channel" tableColumnId="2"/>
      <queryTableField id="3" name="Price" tableColumnId="3"/>
      <queryTableField id="4" name="Region" tableColumnId="4"/>
      <queryTableField id="5" name="Packsize" tableColumnId="5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1" xr16:uid="{A55269C2-FD61-4E91-8742-A97012CB14BE}" autoFormatId="16" applyNumberFormats="0" applyBorderFormats="0" applyFontFormats="0" applyPatternFormats="0" applyAlignmentFormats="0" applyWidthHeightFormats="0">
  <queryTableRefresh nextId="6">
    <queryTableFields count="5">
      <queryTableField id="1" name="Total" tableColumnId="1"/>
      <queryTableField id="2" name="Channel" tableColumnId="2"/>
      <queryTableField id="3" name="Price" tableColumnId="3"/>
      <queryTableField id="4" name="Region" tableColumnId="4"/>
      <queryTableField id="5" name="Packsize" tableColumnId="5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2" xr16:uid="{ADDAA772-38B5-4B54-8FF7-CB93C3B03204}" autoFormatId="16" applyNumberFormats="0" applyBorderFormats="0" applyFontFormats="0" applyPatternFormats="0" applyAlignmentFormats="0" applyWidthHeightFormats="0">
  <queryTableRefresh nextId="6">
    <queryTableFields count="5">
      <queryTableField id="1" name="Total" tableColumnId="1"/>
      <queryTableField id="2" name="Channel" tableColumnId="2"/>
      <queryTableField id="3" name="Price" tableColumnId="3"/>
      <queryTableField id="4" name="Region" tableColumnId="4"/>
      <queryTableField id="5" name="Packsize" tableColumnId="5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3" xr16:uid="{17A59E71-4112-4DDD-A8FD-9238D1551F87}" autoFormatId="16" applyNumberFormats="0" applyBorderFormats="0" applyFontFormats="0" applyPatternFormats="0" applyAlignmentFormats="0" applyWidthHeightFormats="0">
  <queryTableRefresh nextId="6">
    <queryTableFields count="5">
      <queryTableField id="1" name="Total" tableColumnId="1"/>
      <queryTableField id="2" name="Channel" tableColumnId="2"/>
      <queryTableField id="3" name="Price" tableColumnId="3"/>
      <queryTableField id="4" name="Region" tableColumnId="4"/>
      <queryTableField id="5" name="Packsize" tableColumnId="5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0" connectionId="4" xr16:uid="{1C87DE76-7766-4D63-B772-9B2EBB7525EB}" autoFormatId="16" applyNumberFormats="0" applyBorderFormats="0" applyFontFormats="0" applyPatternFormats="0" applyAlignmentFormats="0" applyWidthHeightFormats="0">
  <queryTableRefresh nextId="6">
    <queryTableFields count="5">
      <queryTableField id="1" name="Total" tableColumnId="1"/>
      <queryTableField id="2" name="Channel" tableColumnId="2"/>
      <queryTableField id="3" name="Price" tableColumnId="3"/>
      <queryTableField id="4" name="Region" tableColumnId="4"/>
      <queryTableField id="5" name="Packsiz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56A67D3-2B01-421E-89E6-44725895F889}" name="label_dish" displayName="label_dish" ref="A3:E8" tableType="queryTable" totalsRowShown="0">
  <autoFilter ref="A3:E8" xr:uid="{956A67D3-2B01-421E-89E6-44725895F889}"/>
  <tableColumns count="5">
    <tableColumn id="1" xr3:uid="{0BE648E4-C43A-4DC4-9050-D4E16CBB3AAB}" uniqueName="1" name="Total TH" queryTableFieldId="1" dataDxfId="40"/>
    <tableColumn id="2" xr3:uid="{7BFE76E9-9DED-4FE7-AF96-102029DBC769}" uniqueName="2" name="Channel" queryTableFieldId="2" dataDxfId="39"/>
    <tableColumn id="3" xr3:uid="{C579A8B9-4EF7-47B3-AC8E-C42A29B98368}" uniqueName="3" name="Price" queryTableFieldId="3" dataDxfId="38"/>
    <tableColumn id="4" xr3:uid="{DA744986-BFD1-43A7-8A46-56554FD484B9}" uniqueName="4" name="Region" queryTableFieldId="4" dataDxfId="37"/>
    <tableColumn id="5" xr3:uid="{90CFE2D6-367F-406F-9053-5F1E0C73690C}" uniqueName="5" name="Packsize" queryTableFieldId="5" dataDxfId="3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938D02F-7409-4ECD-8A7C-8D29B7EF68E6}" name="label_fab_en" displayName="label_fab_en" ref="A10:E15" tableType="queryTable" totalsRowShown="0">
  <autoFilter ref="A10:E15" xr:uid="{3938D02F-7409-4ECD-8A7C-8D29B7EF68E6}"/>
  <tableColumns count="5">
    <tableColumn id="1" xr3:uid="{7A9824EF-2528-4547-A7A7-D377D9084824}" uniqueName="1" name="Total TH" queryTableFieldId="1" dataDxfId="35"/>
    <tableColumn id="2" xr3:uid="{3D77B5E9-D4C2-4C10-8268-697AB6BA79FB}" uniqueName="2" name="Channel" queryTableFieldId="2" dataDxfId="34"/>
    <tableColumn id="3" xr3:uid="{1803F0F7-4BC6-421A-81E3-A2533BF6DAAC}" uniqueName="3" name="Price" queryTableFieldId="3" dataDxfId="33"/>
    <tableColumn id="4" xr3:uid="{8003EF57-9615-42CB-9C03-9C8AA40A6E2D}" uniqueName="4" name="Region" queryTableFieldId="4" dataDxfId="32"/>
    <tableColumn id="5" xr3:uid="{02443020-FA54-44E6-AF9E-40C036F012FB}" uniqueName="5" name="Packsize" queryTableFieldId="5" dataDxfId="3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D56680A-77D3-4F0E-8F74-6463BF1D7DAA}" name="label_liquid" displayName="label_liquid" ref="A17:E22" tableType="queryTable" totalsRowShown="0">
  <autoFilter ref="A17:E22" xr:uid="{CD56680A-77D3-4F0E-8F74-6463BF1D7DAA}"/>
  <tableColumns count="5">
    <tableColumn id="1" xr3:uid="{5C9B1251-4182-4837-8837-4C46EC58F069}" uniqueName="1" name="Total TH" queryTableFieldId="1" dataDxfId="30"/>
    <tableColumn id="2" xr3:uid="{BE1DC1B9-1092-43F5-8EDB-E40616E16C68}" uniqueName="2" name="Channel" queryTableFieldId="2" dataDxfId="29"/>
    <tableColumn id="3" xr3:uid="{D3506F07-161A-4460-A0F8-6CD4A7F6DBD1}" uniqueName="3" name="Price" queryTableFieldId="3" dataDxfId="28"/>
    <tableColumn id="4" xr3:uid="{CF1C7FDA-BC35-48A3-892B-7965FB2728B6}" uniqueName="4" name="Region" queryTableFieldId="4" dataDxfId="27"/>
    <tableColumn id="5" xr3:uid="{49DD12DF-F2EA-44E3-9179-67FC36033B00}" uniqueName="5" name="Packsize" queryTableFieldId="5" dataDxfId="2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19D8709-86BF-49D2-923A-38F8252ED2CD}" name="label_powder" displayName="label_powder" ref="A24:E29" tableType="queryTable" totalsRowShown="0">
  <autoFilter ref="A24:E29" xr:uid="{119D8709-86BF-49D2-923A-38F8252ED2CD}"/>
  <tableColumns count="5">
    <tableColumn id="1" xr3:uid="{0EA95E44-8E6C-4396-A1CA-3CC405AFF7DB}" uniqueName="1" name="Total TH" queryTableFieldId="1"/>
    <tableColumn id="2" xr3:uid="{25931BA9-80C0-40E9-8F37-6EB974E3CDB1}" uniqueName="2" name="Channel" queryTableFieldId="2" dataDxfId="25"/>
    <tableColumn id="3" xr3:uid="{217B29B8-F043-48F9-879B-91C37B2DC3FA}" uniqueName="3" name="Price" queryTableFieldId="3" dataDxfId="24"/>
    <tableColumn id="4" xr3:uid="{D087C920-D879-485E-BB55-2B705858EB6D}" uniqueName="4" name="Region" queryTableFieldId="4" dataDxfId="23"/>
    <tableColumn id="5" xr3:uid="{7AA4D86B-F8FB-4DC8-9CC5-777E8F90930C}" uniqueName="5" name="Packsize" queryTableFieldId="5" dataDxfId="2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FDEE348-DFC1-4E41-8FC4-29F9697FD418}" name="growth_dw" displayName="growth_dw" ref="G3:K8" tableType="queryTable" totalsRowShown="0">
  <autoFilter ref="G3:K8" xr:uid="{9FDEE348-DFC1-4E41-8FC4-29F9697FD418}"/>
  <tableColumns count="5">
    <tableColumn id="1" xr3:uid="{30EF927D-929E-4A11-B0DA-743C8B49BBC9}" uniqueName="1" name="Total" queryTableFieldId="1"/>
    <tableColumn id="2" xr3:uid="{641AD004-8344-439D-8ECB-F05E23B5BFE3}" uniqueName="2" name="Channel" queryTableFieldId="2"/>
    <tableColumn id="3" xr3:uid="{F2F49FAD-D901-4232-8F30-F86980F35126}" uniqueName="3" name="Price" queryTableFieldId="3"/>
    <tableColumn id="4" xr3:uid="{351A2401-8697-4397-AF20-03B86512D758}" uniqueName="4" name="Region" queryTableFieldId="4"/>
    <tableColumn id="5" xr3:uid="{0F1ECAF6-606A-49D4-8BE6-010B6E039071}" uniqueName="5" name="Packsiz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2A77C7E-3B12-476D-A46F-740B07B7725F}" name="growth_fab_enh" displayName="growth_fab_enh" ref="G10:K15" tableType="queryTable" totalsRowShown="0">
  <autoFilter ref="G10:K15" xr:uid="{32A77C7E-3B12-476D-A46F-740B07B7725F}"/>
  <tableColumns count="5">
    <tableColumn id="1" xr3:uid="{383C30FB-55FA-4104-9684-0C03A9E5B0B1}" uniqueName="1" name="Total" queryTableFieldId="1"/>
    <tableColumn id="2" xr3:uid="{9E0E8625-5622-435A-A917-2C6B07303206}" uniqueName="2" name="Channel" queryTableFieldId="2"/>
    <tableColumn id="3" xr3:uid="{53888561-763D-41FA-A6BF-47BE8BD0C730}" uniqueName="3" name="Price" queryTableFieldId="3"/>
    <tableColumn id="4" xr3:uid="{7651A334-CF4C-432E-8F3A-DF1694B49037}" uniqueName="4" name="Region" queryTableFieldId="4"/>
    <tableColumn id="5" xr3:uid="{45BB404E-BC29-4008-85F6-C5F1DF090748}" uniqueName="5" name="Packsize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A2A1E36-3534-48FF-AB1C-B86F867803E4}" name="growth_liquid" displayName="growth_liquid" ref="G17:K22" tableType="queryTable" totalsRowShown="0">
  <autoFilter ref="G17:K22" xr:uid="{6A2A1E36-3534-48FF-AB1C-B86F867803E4}"/>
  <tableColumns count="5">
    <tableColumn id="1" xr3:uid="{6DE7B788-49DE-4030-B2B1-43FF090FDDC3}" uniqueName="1" name="Total" queryTableFieldId="1"/>
    <tableColumn id="2" xr3:uid="{4CE97968-26F5-48E7-AE20-7FD6FC2177F5}" uniqueName="2" name="Channel" queryTableFieldId="2"/>
    <tableColumn id="3" xr3:uid="{F2298014-E3A0-46AB-BE0B-0253C109AA85}" uniqueName="3" name="Price" queryTableFieldId="3"/>
    <tableColumn id="4" xr3:uid="{CF703004-20EC-4892-AFAC-A0AC59896FA5}" uniqueName="4" name="Region" queryTableFieldId="4"/>
    <tableColumn id="5" xr3:uid="{C6D08EDF-E966-46EE-93F3-24FA70313719}" uniqueName="5" name="Packsize" queryTableFieldId="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ED4B041-3AF8-41AF-B54D-925AE955AA7C}" name="growth_powder" displayName="growth_powder" ref="G24:K29" tableType="queryTable" totalsRowShown="0">
  <autoFilter ref="G24:K29" xr:uid="{DED4B041-3AF8-41AF-B54D-925AE955AA7C}"/>
  <tableColumns count="5">
    <tableColumn id="1" xr3:uid="{6A6B407C-2015-4E0A-8B91-78FB0D749D32}" uniqueName="1" name="Total" queryTableFieldId="1"/>
    <tableColumn id="2" xr3:uid="{7AAD3428-0995-4BC1-8534-BA8468F41693}" uniqueName="2" name="Channel" queryTableFieldId="2"/>
    <tableColumn id="3" xr3:uid="{361EC464-E221-4DD6-8B8B-BEA69F18DC45}" uniqueName="3" name="Price" queryTableFieldId="3"/>
    <tableColumn id="4" xr3:uid="{FDEDCD1E-E364-4593-8601-9F24FAD66836}" uniqueName="4" name="Region" queryTableFieldId="4"/>
    <tableColumn id="5" xr3:uid="{1B04B62B-D1C2-4127-8CBF-15361DF8F0A0}" uniqueName="5" name="Packsize" queryTableFieldId="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E8872B6-71DC-4E4D-9D24-961A67DA14D8}" name="contribution_dw" displayName="contribution_dw" ref="S3:W8" tableType="queryTable" totalsRowShown="0">
  <autoFilter ref="S3:W8" xr:uid="{AE8872B6-71DC-4E4D-9D24-961A67DA14D8}"/>
  <tableColumns count="5">
    <tableColumn id="1" xr3:uid="{0F85DADA-0361-484C-A7BF-106B18185CAD}" uniqueName="1" name="Total TH" queryTableFieldId="1"/>
    <tableColumn id="2" xr3:uid="{8EF63253-1C2C-46BD-9CA4-2292EA2CE470}" uniqueName="2" name="Channel" queryTableFieldId="2"/>
    <tableColumn id="3" xr3:uid="{17C9A7A1-FC55-492C-82B7-D42452B8DE94}" uniqueName="3" name="Price" queryTableFieldId="3"/>
    <tableColumn id="4" xr3:uid="{8164CD8A-E650-4291-85AF-B14444426DB9}" uniqueName="4" name="Region" queryTableFieldId="4"/>
    <tableColumn id="5" xr3:uid="{40333357-98F1-45CB-8892-4024DF0FC422}" uniqueName="5" name="Packsize" queryTableFieldId="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ECCCF8D-E163-4CCC-9FF7-08F506605122}" name="contribution_fab_enh" displayName="contribution_fab_enh" ref="S10:W15" tableType="queryTable" totalsRowShown="0">
  <autoFilter ref="S10:W15" xr:uid="{FECCCF8D-E163-4CCC-9FF7-08F506605122}"/>
  <tableColumns count="5">
    <tableColumn id="1" xr3:uid="{3EDA4FA7-DCBF-49EE-B8B7-879363613664}" uniqueName="1" name="Total TH" queryTableFieldId="1"/>
    <tableColumn id="2" xr3:uid="{19141C86-E64C-4AC0-98A5-37916FF0C630}" uniqueName="2" name="Channel" queryTableFieldId="2"/>
    <tableColumn id="3" xr3:uid="{B3A17863-B630-415F-9BCC-AA4481DC4C6B}" uniqueName="3" name="Price" queryTableFieldId="3"/>
    <tableColumn id="4" xr3:uid="{A0D9907A-313B-4E53-B0FC-45357A08FA86}" uniqueName="4" name="Region" queryTableFieldId="4"/>
    <tableColumn id="5" xr3:uid="{18C2965D-664D-4130-9152-E13E40581120}" uniqueName="5" name="Packsize" queryTableFieldId="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D249C99-C899-4843-84FA-21CC39152AE0}" name="contribution_liquid" displayName="contribution_liquid" ref="S17:W22" tableType="queryTable" totalsRowShown="0">
  <autoFilter ref="S17:W22" xr:uid="{ED249C99-C899-4843-84FA-21CC39152AE0}"/>
  <tableColumns count="5">
    <tableColumn id="1" xr3:uid="{9D7391A3-4F0A-4C34-B1CE-E1843801BCCB}" uniqueName="1" name="Total TH" queryTableFieldId="1"/>
    <tableColumn id="2" xr3:uid="{6816CADB-D57C-4091-AF67-E31609F4D1A7}" uniqueName="2" name="Channel" queryTableFieldId="2"/>
    <tableColumn id="3" xr3:uid="{286378E9-6D4F-4FE4-995D-F544E84A0219}" uniqueName="3" name="Price" queryTableFieldId="3"/>
    <tableColumn id="4" xr3:uid="{765DF6A4-0A6F-4F6D-9AC6-3896E85F0B33}" uniqueName="4" name="Region" queryTableFieldId="4"/>
    <tableColumn id="5" xr3:uid="{DF488D72-ED98-40F9-B5C6-C419B9817A2B}" uniqueName="5" name="Packsize" queryTableFieldId="5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8D5ECAB-AE6A-4FE5-A9A7-A78AAFB64F86}" name="contribution_powder" displayName="contribution_powder" ref="S24:W29" tableType="queryTable" totalsRowShown="0">
  <autoFilter ref="S24:W29" xr:uid="{78D5ECAB-AE6A-4FE5-A9A7-A78AAFB64F86}"/>
  <tableColumns count="5">
    <tableColumn id="1" xr3:uid="{A7E9E69F-8FDB-4FFB-AE2F-B54D125B3FA7}" uniqueName="1" name="Total TH" queryTableFieldId="1"/>
    <tableColumn id="2" xr3:uid="{BCC51861-9748-4609-878E-DB1599606EF6}" uniqueName="2" name="Channel" queryTableFieldId="2"/>
    <tableColumn id="3" xr3:uid="{364FA8F5-9806-4866-9786-C903FD06B290}" uniqueName="3" name="Price" queryTableFieldId="3"/>
    <tableColumn id="4" xr3:uid="{3D2E57E9-E038-49B6-9A62-07B510A00F0D}" uniqueName="4" name="Region" queryTableFieldId="4"/>
    <tableColumn id="5" xr3:uid="{1D6EB059-9C33-4EC7-BB28-EDAC002389E6}" uniqueName="5" name="Packsize" queryTableFieldId="5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A0CB0C4-36AD-4A4A-8FE7-0761C204B482}" name="bps_dw" displayName="bps_dw" ref="M3:Q8" tableType="queryTable" totalsRowShown="0">
  <autoFilter ref="M3:Q8" xr:uid="{2A0CB0C4-36AD-4A4A-8FE7-0761C204B482}"/>
  <tableColumns count="5">
    <tableColumn id="1" xr3:uid="{BB614576-D364-4A28-95A1-8D34CC302EF4}" uniqueName="1" name="Total" queryTableFieldId="1" dataDxfId="21"/>
    <tableColumn id="2" xr3:uid="{3A39C4A6-623A-4993-8664-C2901B1DEB21}" uniqueName="2" name="Channel" queryTableFieldId="2" dataDxfId="20"/>
    <tableColumn id="3" xr3:uid="{DA777F6C-6923-4009-B9CE-368AF7AD14EF}" uniqueName="3" name="Price" queryTableFieldId="3" dataDxfId="19"/>
    <tableColumn id="4" xr3:uid="{F88DF06E-0E80-49F0-A869-D06E51345D01}" uniqueName="4" name="Region" queryTableFieldId="4" dataDxfId="18"/>
    <tableColumn id="5" xr3:uid="{26C88A3F-E801-4C11-A690-D1D383A5EF5D}" uniqueName="5" name="Packsize" queryTableFieldId="5" dataDxfId="17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AD7F574-EC91-4B17-AA80-E40F158DD2D1}" name="bps_fab_enh" displayName="bps_fab_enh" ref="M10:Q15" tableType="queryTable" totalsRowShown="0">
  <autoFilter ref="M10:Q15" xr:uid="{6AD7F574-EC91-4B17-AA80-E40F158DD2D1}"/>
  <tableColumns count="5">
    <tableColumn id="1" xr3:uid="{6CF8796E-5C28-4179-B6A0-951F7DA4E996}" uniqueName="1" name="Total" queryTableFieldId="1" dataDxfId="16"/>
    <tableColumn id="2" xr3:uid="{797B61A1-E080-438D-B2B5-056A0E6528DA}" uniqueName="2" name="Channel" queryTableFieldId="2" dataDxfId="15"/>
    <tableColumn id="3" xr3:uid="{15F2F13A-ED82-43D4-B972-6E44A63B31E6}" uniqueName="3" name="Price" queryTableFieldId="3" dataDxfId="14"/>
    <tableColumn id="4" xr3:uid="{4F0ED69D-A428-4DFC-8D37-1D38498600BA}" uniqueName="4" name="Region" queryTableFieldId="4" dataDxfId="13"/>
    <tableColumn id="5" xr3:uid="{6F0E1B2E-D0E0-4BAE-B261-98E877E722BE}" uniqueName="5" name="Packsize" queryTableFieldId="5" dataDxfId="12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F30AC5A-E88F-4D8E-8571-611DA183E5B8}" name="bps_liquid" displayName="bps_liquid" ref="M17:Q22" tableType="queryTable" totalsRowShown="0" headerRowDxfId="11">
  <autoFilter ref="M17:Q22" xr:uid="{6F30AC5A-E88F-4D8E-8571-611DA183E5B8}"/>
  <tableColumns count="5">
    <tableColumn id="1" xr3:uid="{5E4C436A-47E2-488A-8346-4951FBC4E467}" uniqueName="1" name="Total" queryTableFieldId="1" dataDxfId="10"/>
    <tableColumn id="2" xr3:uid="{461F628F-440B-453C-9D16-DD5CE3F0B055}" uniqueName="2" name="Channel" queryTableFieldId="2" dataDxfId="9"/>
    <tableColumn id="3" xr3:uid="{1CC0FD5E-5DA6-4B95-AB07-37C0937380EC}" uniqueName="3" name="Price" queryTableFieldId="3" dataDxfId="8"/>
    <tableColumn id="4" xr3:uid="{30AD74C6-D65A-46AF-AF6B-00B708B2FC9A}" uniqueName="4" name="Region" queryTableFieldId="4" dataDxfId="7"/>
    <tableColumn id="5" xr3:uid="{C2448631-7DCF-41BC-B6AE-A7F50ADBE42A}" uniqueName="5" name="Packsize" queryTableFieldId="5" dataDxfId="6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1F7B18B-B2C1-4025-8207-07442FA99D5C}" name="bps_powder" displayName="bps_powder" ref="M24:Q29" tableType="queryTable" totalsRowShown="0" headerRowDxfId="5">
  <autoFilter ref="M24:Q29" xr:uid="{81F7B18B-B2C1-4025-8207-07442FA99D5C}"/>
  <tableColumns count="5">
    <tableColumn id="1" xr3:uid="{5A51DF22-CAB9-423D-932B-76507D76BC95}" uniqueName="1" name="Total" queryTableFieldId="1" dataDxfId="4"/>
    <tableColumn id="2" xr3:uid="{B3DF78AD-9627-49A6-A3A9-854618E45B95}" uniqueName="2" name="Channel" queryTableFieldId="2" dataDxfId="3"/>
    <tableColumn id="3" xr3:uid="{CFDF5A05-008F-4CBE-B54B-55858B97D99B}" uniqueName="3" name="Price" queryTableFieldId="3" dataDxfId="2"/>
    <tableColumn id="4" xr3:uid="{28B5B603-4D8E-48E4-BB52-C3493763D532}" uniqueName="4" name="Region" queryTableFieldId="4" dataDxfId="1"/>
    <tableColumn id="5" xr3:uid="{53893080-AC28-47A2-8A71-218C9DCF4762}" uniqueName="5" name="Packsiz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D099-D985-467F-949B-779041121AE9}">
  <dimension ref="A1:W29"/>
  <sheetViews>
    <sheetView tabSelected="1" workbookViewId="0">
      <selection activeCell="G2" sqref="G2"/>
    </sheetView>
  </sheetViews>
  <sheetFormatPr defaultRowHeight="14.4" x14ac:dyDescent="0.3"/>
  <cols>
    <col min="1" max="1" width="9.88671875" bestFit="1" customWidth="1"/>
    <col min="2" max="2" width="10" bestFit="1" customWidth="1"/>
    <col min="3" max="3" width="7.5546875" bestFit="1" customWidth="1"/>
    <col min="4" max="4" width="11" bestFit="1" customWidth="1"/>
    <col min="5" max="5" width="10.6640625" bestFit="1" customWidth="1"/>
    <col min="7" max="11" width="12.6640625" bestFit="1" customWidth="1"/>
    <col min="13" max="13" width="7.33203125" bestFit="1" customWidth="1"/>
    <col min="14" max="14" width="10" bestFit="1" customWidth="1"/>
    <col min="15" max="15" width="7.88671875" bestFit="1" customWidth="1"/>
    <col min="16" max="16" width="8.77734375" bestFit="1" customWidth="1"/>
    <col min="17" max="17" width="10.6640625" bestFit="1" customWidth="1"/>
    <col min="19" max="19" width="11" bestFit="1" customWidth="1"/>
    <col min="20" max="23" width="12" bestFit="1" customWidth="1"/>
  </cols>
  <sheetData>
    <row r="1" spans="1:23" x14ac:dyDescent="0.3">
      <c r="G1" t="s">
        <v>102</v>
      </c>
      <c r="M1" t="s">
        <v>103</v>
      </c>
      <c r="S1" t="s">
        <v>104</v>
      </c>
    </row>
    <row r="3" spans="1:23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G3" t="s">
        <v>28</v>
      </c>
      <c r="H3" t="s">
        <v>1</v>
      </c>
      <c r="I3" t="s">
        <v>2</v>
      </c>
      <c r="J3" t="s">
        <v>3</v>
      </c>
      <c r="K3" t="s">
        <v>4</v>
      </c>
      <c r="M3" t="s">
        <v>28</v>
      </c>
      <c r="N3" t="s">
        <v>1</v>
      </c>
      <c r="O3" t="s">
        <v>2</v>
      </c>
      <c r="P3" t="s">
        <v>3</v>
      </c>
      <c r="Q3" t="s">
        <v>4</v>
      </c>
      <c r="S3" t="s">
        <v>0</v>
      </c>
      <c r="T3" t="s">
        <v>1</v>
      </c>
      <c r="U3" t="s">
        <v>2</v>
      </c>
      <c r="V3" t="s">
        <v>3</v>
      </c>
      <c r="W3" t="s">
        <v>4</v>
      </c>
    </row>
    <row r="4" spans="1:23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G4">
        <v>3.4473771683392274E-2</v>
      </c>
      <c r="H4">
        <v>-5.7147907952479815E-2</v>
      </c>
      <c r="I4">
        <v>6.0154722519156767E-3</v>
      </c>
      <c r="J4">
        <v>1.0681761862248562E-2</v>
      </c>
      <c r="K4">
        <v>-2.9576373857395755E-2</v>
      </c>
      <c r="M4" t="s">
        <v>29</v>
      </c>
      <c r="N4" t="s">
        <v>30</v>
      </c>
      <c r="O4" t="s">
        <v>31</v>
      </c>
      <c r="P4" t="s">
        <v>32</v>
      </c>
      <c r="Q4" t="s">
        <v>33</v>
      </c>
      <c r="S4">
        <v>0.62101443534875422</v>
      </c>
      <c r="T4">
        <v>0.16633831280482414</v>
      </c>
      <c r="U4">
        <v>0.52984993873975217</v>
      </c>
      <c r="V4">
        <v>0.1517230726042324</v>
      </c>
      <c r="W4">
        <v>0.20293123130523621</v>
      </c>
    </row>
    <row r="5" spans="1:23" x14ac:dyDescent="0.3">
      <c r="B5" t="s">
        <v>10</v>
      </c>
      <c r="C5" t="s">
        <v>11</v>
      </c>
      <c r="D5" t="s">
        <v>12</v>
      </c>
      <c r="E5" t="s">
        <v>13</v>
      </c>
      <c r="H5">
        <v>0.44832951233728369</v>
      </c>
      <c r="I5">
        <v>2.2232613309382647</v>
      </c>
      <c r="J5">
        <v>2.0888919025511266E-2</v>
      </c>
      <c r="K5">
        <v>0.12213868435045327</v>
      </c>
      <c r="M5" t="s">
        <v>34</v>
      </c>
      <c r="N5" t="s">
        <v>35</v>
      </c>
      <c r="O5" t="s">
        <v>36</v>
      </c>
      <c r="P5" t="s">
        <v>37</v>
      </c>
      <c r="Q5" t="s">
        <v>38</v>
      </c>
      <c r="T5">
        <v>1.4610818471898622E-2</v>
      </c>
      <c r="U5">
        <v>1.9610652796561007E-2</v>
      </c>
      <c r="V5">
        <v>0.15008273865819044</v>
      </c>
      <c r="W5">
        <v>0.12734480337307957</v>
      </c>
    </row>
    <row r="6" spans="1:23" x14ac:dyDescent="0.3">
      <c r="B6" t="s">
        <v>14</v>
      </c>
      <c r="C6" t="s">
        <v>15</v>
      </c>
      <c r="D6" t="s">
        <v>16</v>
      </c>
      <c r="E6" t="s">
        <v>17</v>
      </c>
      <c r="H6">
        <v>1.5573844791902713E-2</v>
      </c>
      <c r="I6">
        <v>5.921950077072502E-2</v>
      </c>
      <c r="J6">
        <v>1.7567677033856866E-2</v>
      </c>
      <c r="K6">
        <v>-0.1316721885131078</v>
      </c>
      <c r="M6" t="s">
        <v>34</v>
      </c>
      <c r="N6" t="s">
        <v>39</v>
      </c>
      <c r="O6" t="s">
        <v>40</v>
      </c>
      <c r="P6" t="s">
        <v>41</v>
      </c>
      <c r="Q6" t="s">
        <v>42</v>
      </c>
      <c r="T6">
        <v>0.1883654816071825</v>
      </c>
      <c r="U6">
        <v>7.1553844080874396E-2</v>
      </c>
      <c r="V6">
        <v>7.1203685140820316E-2</v>
      </c>
      <c r="W6">
        <v>0.11651568234055637</v>
      </c>
    </row>
    <row r="7" spans="1:23" x14ac:dyDescent="0.3">
      <c r="B7" t="s">
        <v>18</v>
      </c>
      <c r="C7" t="s">
        <v>19</v>
      </c>
      <c r="D7" t="s">
        <v>20</v>
      </c>
      <c r="E7" t="s">
        <v>21</v>
      </c>
      <c r="H7">
        <v>0.29890230135444495</v>
      </c>
      <c r="J7">
        <v>7.8040866741658332E-2</v>
      </c>
      <c r="K7">
        <v>0.21379921603854402</v>
      </c>
      <c r="M7" t="s">
        <v>34</v>
      </c>
      <c r="N7" t="s">
        <v>43</v>
      </c>
      <c r="P7" t="s">
        <v>44</v>
      </c>
      <c r="Q7" t="s">
        <v>45</v>
      </c>
      <c r="T7">
        <v>0.13992112200487514</v>
      </c>
      <c r="U7">
        <v>0</v>
      </c>
      <c r="V7">
        <v>0.17630647294785795</v>
      </c>
      <c r="W7">
        <v>0.17422271548364263</v>
      </c>
    </row>
    <row r="8" spans="1:23" x14ac:dyDescent="0.3">
      <c r="B8" t="s">
        <v>22</v>
      </c>
      <c r="D8" t="s">
        <v>23</v>
      </c>
      <c r="E8" t="s">
        <v>24</v>
      </c>
      <c r="H8">
        <v>-7.3231741007007134E-2</v>
      </c>
      <c r="J8">
        <v>2.9114997498184136E-2</v>
      </c>
      <c r="M8" t="s">
        <v>34</v>
      </c>
      <c r="N8" t="s">
        <v>46</v>
      </c>
      <c r="O8" t="s">
        <v>34</v>
      </c>
      <c r="P8" t="s">
        <v>47</v>
      </c>
      <c r="T8">
        <v>0.11177870045997386</v>
      </c>
      <c r="V8">
        <v>7.1698465997653102E-2</v>
      </c>
      <c r="W8">
        <v>0</v>
      </c>
    </row>
    <row r="10" spans="1:23" x14ac:dyDescent="0.3">
      <c r="A10" t="s">
        <v>0</v>
      </c>
      <c r="B10" t="s">
        <v>1</v>
      </c>
      <c r="C10" t="s">
        <v>2</v>
      </c>
      <c r="D10" t="s">
        <v>3</v>
      </c>
      <c r="E10" t="s">
        <v>4</v>
      </c>
      <c r="G10" t="s">
        <v>28</v>
      </c>
      <c r="H10" t="s">
        <v>1</v>
      </c>
      <c r="I10" t="s">
        <v>2</v>
      </c>
      <c r="J10" t="s">
        <v>3</v>
      </c>
      <c r="K10" t="s">
        <v>4</v>
      </c>
      <c r="M10" t="s">
        <v>28</v>
      </c>
      <c r="N10" t="s">
        <v>1</v>
      </c>
      <c r="O10" t="s">
        <v>2</v>
      </c>
      <c r="P10" t="s">
        <v>3</v>
      </c>
      <c r="Q10" t="s">
        <v>4</v>
      </c>
      <c r="S10" t="s">
        <v>0</v>
      </c>
      <c r="T10" t="s">
        <v>1</v>
      </c>
      <c r="U10" t="s">
        <v>2</v>
      </c>
      <c r="V10" t="s">
        <v>3</v>
      </c>
      <c r="W10" t="s">
        <v>4</v>
      </c>
    </row>
    <row r="11" spans="1:23" x14ac:dyDescent="0.3">
      <c r="A11" t="s">
        <v>25</v>
      </c>
      <c r="B11" t="s">
        <v>6</v>
      </c>
      <c r="C11" t="s">
        <v>7</v>
      </c>
      <c r="D11" t="s">
        <v>8</v>
      </c>
      <c r="E11" t="s">
        <v>9</v>
      </c>
      <c r="G11">
        <v>0.12792494859320858</v>
      </c>
      <c r="H11">
        <v>0.29863890912270907</v>
      </c>
      <c r="I11">
        <v>-0.85537963081382962</v>
      </c>
      <c r="J11">
        <v>0.12460977165484288</v>
      </c>
      <c r="K11">
        <v>-0.22649364034066344</v>
      </c>
      <c r="M11" t="s">
        <v>48</v>
      </c>
      <c r="N11" t="s">
        <v>49</v>
      </c>
      <c r="O11" t="s">
        <v>50</v>
      </c>
      <c r="P11" t="s">
        <v>51</v>
      </c>
      <c r="Q11" t="s">
        <v>52</v>
      </c>
      <c r="S11">
        <v>0.14301828311901507</v>
      </c>
      <c r="T11">
        <v>4.9774059451727193E-2</v>
      </c>
      <c r="V11">
        <v>4.6661037854068048E-2</v>
      </c>
      <c r="W11">
        <v>1.5680976609418057E-2</v>
      </c>
    </row>
    <row r="12" spans="1:23" x14ac:dyDescent="0.3">
      <c r="B12" t="s">
        <v>10</v>
      </c>
      <c r="C12" t="s">
        <v>11</v>
      </c>
      <c r="D12" t="s">
        <v>12</v>
      </c>
      <c r="E12" t="s">
        <v>13</v>
      </c>
      <c r="H12">
        <v>0.40017390448729206</v>
      </c>
      <c r="I12">
        <v>0.424338560735674</v>
      </c>
      <c r="J12">
        <v>0.17862988956366155</v>
      </c>
      <c r="K12">
        <v>-0.79275633486257024</v>
      </c>
      <c r="M12" t="s">
        <v>34</v>
      </c>
      <c r="N12" t="s">
        <v>53</v>
      </c>
      <c r="O12" t="s">
        <v>54</v>
      </c>
      <c r="P12" t="s">
        <v>55</v>
      </c>
      <c r="Q12" t="s">
        <v>56</v>
      </c>
      <c r="U12">
        <v>0.123</v>
      </c>
      <c r="V12">
        <v>4.220720963296231E-2</v>
      </c>
    </row>
    <row r="13" spans="1:23" x14ac:dyDescent="0.3">
      <c r="B13" t="s">
        <v>14</v>
      </c>
      <c r="C13" t="s">
        <v>15</v>
      </c>
      <c r="D13" t="s">
        <v>16</v>
      </c>
      <c r="E13" t="s">
        <v>17</v>
      </c>
      <c r="H13">
        <v>1.8240480651653845E-2</v>
      </c>
      <c r="I13">
        <v>-8.5769450534285196E-2</v>
      </c>
      <c r="J13">
        <v>4.5176200271348277E-2</v>
      </c>
      <c r="K13">
        <v>9.523052020335232E-2</v>
      </c>
      <c r="M13" t="s">
        <v>34</v>
      </c>
      <c r="N13" t="s">
        <v>57</v>
      </c>
      <c r="O13" t="s">
        <v>58</v>
      </c>
      <c r="P13" t="s">
        <v>59</v>
      </c>
      <c r="Q13" t="s">
        <v>60</v>
      </c>
      <c r="T13">
        <v>2.475974854191771E-2</v>
      </c>
      <c r="U13">
        <v>0.02</v>
      </c>
      <c r="V13">
        <v>1.5791583596778354E-2</v>
      </c>
      <c r="W13">
        <v>0.08</v>
      </c>
    </row>
    <row r="14" spans="1:23" x14ac:dyDescent="0.3">
      <c r="B14" t="s">
        <v>18</v>
      </c>
      <c r="C14" t="s">
        <v>19</v>
      </c>
      <c r="D14" t="s">
        <v>20</v>
      </c>
      <c r="E14" t="s">
        <v>21</v>
      </c>
      <c r="H14">
        <v>0.22587844538678326</v>
      </c>
      <c r="I14">
        <v>-0.38776860609029129</v>
      </c>
      <c r="J14">
        <v>0.10927052637958545</v>
      </c>
      <c r="K14">
        <v>0.65422605283273016</v>
      </c>
      <c r="M14" t="s">
        <v>34</v>
      </c>
      <c r="N14" t="s">
        <v>61</v>
      </c>
      <c r="O14" t="s">
        <v>62</v>
      </c>
      <c r="P14" t="s">
        <v>63</v>
      </c>
      <c r="Q14" t="s">
        <v>64</v>
      </c>
      <c r="T14">
        <v>2.8500000000000001E-2</v>
      </c>
      <c r="V14">
        <v>2.5993493302898536E-2</v>
      </c>
      <c r="W14">
        <v>4.7E-2</v>
      </c>
    </row>
    <row r="15" spans="1:23" x14ac:dyDescent="0.3">
      <c r="B15" t="s">
        <v>22</v>
      </c>
      <c r="D15" t="s">
        <v>23</v>
      </c>
      <c r="E15" t="s">
        <v>24</v>
      </c>
      <c r="H15">
        <v>-4.2630634365630748E-2</v>
      </c>
      <c r="J15">
        <v>0.12876172712226563</v>
      </c>
      <c r="K15">
        <v>-5.3766533083082435E-2</v>
      </c>
      <c r="M15" t="s">
        <v>34</v>
      </c>
      <c r="N15" t="s">
        <v>56</v>
      </c>
      <c r="O15" t="s">
        <v>34</v>
      </c>
      <c r="P15" t="s">
        <v>63</v>
      </c>
      <c r="Q15" t="s">
        <v>65</v>
      </c>
      <c r="T15">
        <v>0.04</v>
      </c>
      <c r="V15">
        <v>1.2364958732307835E-2</v>
      </c>
    </row>
    <row r="17" spans="1:23" x14ac:dyDescent="0.3">
      <c r="A17" t="s">
        <v>0</v>
      </c>
      <c r="B17" t="s">
        <v>1</v>
      </c>
      <c r="C17" t="s">
        <v>2</v>
      </c>
      <c r="D17" t="s">
        <v>3</v>
      </c>
      <c r="E17" t="s">
        <v>4</v>
      </c>
      <c r="G17" t="s">
        <v>28</v>
      </c>
      <c r="H17" t="s">
        <v>1</v>
      </c>
      <c r="I17" t="s">
        <v>2</v>
      </c>
      <c r="J17" t="s">
        <v>3</v>
      </c>
      <c r="K17" t="s">
        <v>4</v>
      </c>
      <c r="M17" t="s">
        <v>28</v>
      </c>
      <c r="N17" t="s">
        <v>1</v>
      </c>
      <c r="O17" t="s">
        <v>2</v>
      </c>
      <c r="P17" t="s">
        <v>3</v>
      </c>
      <c r="Q17" t="s">
        <v>4</v>
      </c>
      <c r="S17" t="s">
        <v>0</v>
      </c>
      <c r="T17" t="s">
        <v>1</v>
      </c>
      <c r="U17" t="s">
        <v>2</v>
      </c>
      <c r="V17" t="s">
        <v>3</v>
      </c>
      <c r="W17" t="s">
        <v>4</v>
      </c>
    </row>
    <row r="18" spans="1:23" x14ac:dyDescent="0.3">
      <c r="A18" t="s">
        <v>26</v>
      </c>
      <c r="B18" t="s">
        <v>6</v>
      </c>
      <c r="C18" t="s">
        <v>7</v>
      </c>
      <c r="D18" t="s">
        <v>8</v>
      </c>
      <c r="E18" t="s">
        <v>9</v>
      </c>
      <c r="G18">
        <v>0.27503667017146594</v>
      </c>
      <c r="H18">
        <v>0.18085306158950454</v>
      </c>
      <c r="I18">
        <v>2.0837461689128309</v>
      </c>
      <c r="J18">
        <v>0.36269720300798713</v>
      </c>
      <c r="K18">
        <v>-0.13511630418571652</v>
      </c>
      <c r="M18" t="s">
        <v>66</v>
      </c>
      <c r="N18" t="s">
        <v>67</v>
      </c>
      <c r="O18" t="s">
        <v>68</v>
      </c>
      <c r="P18" t="s">
        <v>69</v>
      </c>
      <c r="Q18" t="s">
        <v>70</v>
      </c>
      <c r="S18">
        <v>0.39367264824068343</v>
      </c>
      <c r="T18">
        <v>0.13971965442247553</v>
      </c>
      <c r="U18">
        <v>0.02</v>
      </c>
      <c r="V18">
        <v>0.14497907312426961</v>
      </c>
      <c r="W18">
        <v>1.3224553861181956E-2</v>
      </c>
    </row>
    <row r="19" spans="1:23" x14ac:dyDescent="0.3">
      <c r="B19" t="s">
        <v>10</v>
      </c>
      <c r="C19" t="s">
        <v>11</v>
      </c>
      <c r="D19" t="s">
        <v>12</v>
      </c>
      <c r="E19" t="s">
        <v>13</v>
      </c>
      <c r="H19">
        <v>0.40367161385450112</v>
      </c>
      <c r="I19">
        <v>-4.2798230190489783E-2</v>
      </c>
      <c r="J19">
        <v>0.29591554750132287</v>
      </c>
      <c r="K19">
        <v>-2.8308905153226149E-2</v>
      </c>
      <c r="M19" t="s">
        <v>34</v>
      </c>
      <c r="N19" t="s">
        <v>71</v>
      </c>
      <c r="O19" t="s">
        <v>72</v>
      </c>
      <c r="P19" t="s">
        <v>73</v>
      </c>
      <c r="Q19" t="s">
        <v>74</v>
      </c>
      <c r="T19">
        <v>7.4350913634642678E-3</v>
      </c>
      <c r="U19">
        <v>8.3092677787373795E-2</v>
      </c>
      <c r="V19">
        <v>0.10499789376696243</v>
      </c>
      <c r="W19">
        <v>1.7087705772529597E-2</v>
      </c>
    </row>
    <row r="20" spans="1:23" x14ac:dyDescent="0.3">
      <c r="B20" t="s">
        <v>14</v>
      </c>
      <c r="C20" t="s">
        <v>15</v>
      </c>
      <c r="D20" t="s">
        <v>16</v>
      </c>
      <c r="E20" t="s">
        <v>17</v>
      </c>
      <c r="H20">
        <v>0.20656130563103625</v>
      </c>
      <c r="I20">
        <v>0.3431469753120977</v>
      </c>
      <c r="J20">
        <v>0.32767861945909438</v>
      </c>
      <c r="K20">
        <v>0.39360677023553059</v>
      </c>
      <c r="M20" t="s">
        <v>34</v>
      </c>
      <c r="N20" t="s">
        <v>75</v>
      </c>
      <c r="O20" t="s">
        <v>76</v>
      </c>
      <c r="P20" t="s">
        <v>77</v>
      </c>
      <c r="Q20" t="s">
        <v>78</v>
      </c>
      <c r="T20">
        <v>4.4699992833340106E-2</v>
      </c>
      <c r="U20">
        <v>0.28999999999999998</v>
      </c>
      <c r="V20">
        <v>4.2425781252054984E-2</v>
      </c>
      <c r="W20">
        <v>0.18701734373789958</v>
      </c>
    </row>
    <row r="21" spans="1:23" x14ac:dyDescent="0.3">
      <c r="B21" t="s">
        <v>18</v>
      </c>
      <c r="C21" t="s">
        <v>19</v>
      </c>
      <c r="D21" t="s">
        <v>20</v>
      </c>
      <c r="E21" t="s">
        <v>21</v>
      </c>
      <c r="H21">
        <v>0.36059292133067333</v>
      </c>
      <c r="I21">
        <v>-1</v>
      </c>
      <c r="J21">
        <v>0.33287925769559501</v>
      </c>
      <c r="K21">
        <v>0.38031716620723754</v>
      </c>
      <c r="M21" t="s">
        <v>34</v>
      </c>
      <c r="N21" t="s">
        <v>79</v>
      </c>
      <c r="O21" t="s">
        <v>80</v>
      </c>
      <c r="P21" t="s">
        <v>81</v>
      </c>
      <c r="Q21" t="s">
        <v>82</v>
      </c>
      <c r="T21">
        <v>8.9555564080933986E-2</v>
      </c>
      <c r="U21">
        <v>0</v>
      </c>
      <c r="V21">
        <v>6.5997762105723501E-2</v>
      </c>
      <c r="W21">
        <v>0.17578255184245589</v>
      </c>
    </row>
    <row r="22" spans="1:23" x14ac:dyDescent="0.3">
      <c r="B22" t="s">
        <v>22</v>
      </c>
      <c r="D22" t="s">
        <v>23</v>
      </c>
      <c r="E22" t="s">
        <v>24</v>
      </c>
      <c r="H22">
        <v>0.64194711525190784</v>
      </c>
      <c r="J22">
        <v>0.35796565280915393</v>
      </c>
      <c r="K22">
        <v>0.28669916057405875</v>
      </c>
      <c r="M22" t="s">
        <v>34</v>
      </c>
      <c r="N22" t="s">
        <v>83</v>
      </c>
      <c r="O22" t="s">
        <v>34</v>
      </c>
      <c r="P22" t="s">
        <v>84</v>
      </c>
      <c r="Q22" t="s">
        <v>80</v>
      </c>
      <c r="T22">
        <v>0.11226234632683076</v>
      </c>
      <c r="V22">
        <v>3.5272137991672906E-2</v>
      </c>
      <c r="W22">
        <v>5.6049230796697744E-4</v>
      </c>
    </row>
    <row r="24" spans="1:23" x14ac:dyDescent="0.3">
      <c r="A24" t="s">
        <v>0</v>
      </c>
      <c r="B24" t="s">
        <v>1</v>
      </c>
      <c r="C24" t="s">
        <v>2</v>
      </c>
      <c r="D24" t="s">
        <v>3</v>
      </c>
      <c r="E24" t="s">
        <v>4</v>
      </c>
      <c r="G24" t="s">
        <v>28</v>
      </c>
      <c r="H24" t="s">
        <v>1</v>
      </c>
      <c r="I24" t="s">
        <v>2</v>
      </c>
      <c r="J24" t="s">
        <v>3</v>
      </c>
      <c r="K24" t="s">
        <v>4</v>
      </c>
      <c r="M24" t="s">
        <v>28</v>
      </c>
      <c r="N24" t="s">
        <v>1</v>
      </c>
      <c r="O24" t="s">
        <v>2</v>
      </c>
      <c r="P24" t="s">
        <v>3</v>
      </c>
      <c r="Q24" t="s">
        <v>4</v>
      </c>
      <c r="S24" t="s">
        <v>0</v>
      </c>
      <c r="T24" t="s">
        <v>1</v>
      </c>
      <c r="U24" t="s">
        <v>2</v>
      </c>
      <c r="V24" t="s">
        <v>3</v>
      </c>
      <c r="W24" t="s">
        <v>4</v>
      </c>
    </row>
    <row r="25" spans="1:23" x14ac:dyDescent="0.3">
      <c r="A25" t="s">
        <v>27</v>
      </c>
      <c r="B25" t="s">
        <v>6</v>
      </c>
      <c r="C25" t="s">
        <v>7</v>
      </c>
      <c r="D25" t="s">
        <v>8</v>
      </c>
      <c r="E25" t="s">
        <v>9</v>
      </c>
      <c r="G25">
        <v>-3.376956812844345E-2</v>
      </c>
      <c r="H25">
        <v>-0.14699332688635791</v>
      </c>
      <c r="I25">
        <v>-7.5615860182877359E-2</v>
      </c>
      <c r="J25">
        <v>-6.4430566146818857E-2</v>
      </c>
      <c r="K25">
        <v>-0.19016238862053403</v>
      </c>
      <c r="M25" t="s">
        <v>85</v>
      </c>
      <c r="N25" t="s">
        <v>86</v>
      </c>
      <c r="O25" t="s">
        <v>87</v>
      </c>
      <c r="P25" t="s">
        <v>88</v>
      </c>
      <c r="Q25" t="s">
        <v>89</v>
      </c>
      <c r="S25">
        <v>0.51787842033710652</v>
      </c>
      <c r="T25">
        <v>0.11520073891218853</v>
      </c>
      <c r="U25">
        <v>0.22257891835709895</v>
      </c>
      <c r="V25">
        <v>0.10756976380187398</v>
      </c>
      <c r="W25">
        <v>4.2699994816435979E-2</v>
      </c>
    </row>
    <row r="26" spans="1:23" x14ac:dyDescent="0.3">
      <c r="B26" t="s">
        <v>10</v>
      </c>
      <c r="C26" t="s">
        <v>11</v>
      </c>
      <c r="D26" t="s">
        <v>12</v>
      </c>
      <c r="E26" t="s">
        <v>13</v>
      </c>
      <c r="H26">
        <v>0.23859021475939346</v>
      </c>
      <c r="I26">
        <v>-0.15523999442247183</v>
      </c>
      <c r="J26">
        <v>2.3838855133016867E-2</v>
      </c>
      <c r="K26">
        <v>-0.13455768112516742</v>
      </c>
      <c r="M26" t="s">
        <v>34</v>
      </c>
      <c r="N26" t="s">
        <v>51</v>
      </c>
      <c r="O26" t="s">
        <v>90</v>
      </c>
      <c r="P26" t="s">
        <v>91</v>
      </c>
      <c r="Q26" t="s">
        <v>92</v>
      </c>
      <c r="T26">
        <v>6.3699980201099779E-3</v>
      </c>
      <c r="U26">
        <v>4.4540325584372022E-2</v>
      </c>
      <c r="V26">
        <v>0.13346583677993312</v>
      </c>
      <c r="W26">
        <v>8.6627067749236286E-2</v>
      </c>
    </row>
    <row r="27" spans="1:23" x14ac:dyDescent="0.3">
      <c r="B27" t="s">
        <v>14</v>
      </c>
      <c r="C27" t="s">
        <v>15</v>
      </c>
      <c r="D27" t="s">
        <v>16</v>
      </c>
      <c r="E27" t="s">
        <v>17</v>
      </c>
      <c r="H27">
        <v>2.9339501287580561E-2</v>
      </c>
      <c r="I27">
        <v>1.304943980743567E-2</v>
      </c>
      <c r="J27">
        <v>1.9611600339884072E-2</v>
      </c>
      <c r="K27">
        <v>-2.317594936815881E-2</v>
      </c>
      <c r="M27" t="s">
        <v>34</v>
      </c>
      <c r="N27" t="s">
        <v>93</v>
      </c>
      <c r="O27" t="s">
        <v>94</v>
      </c>
      <c r="P27" t="s">
        <v>73</v>
      </c>
      <c r="Q27" t="s">
        <v>63</v>
      </c>
      <c r="T27">
        <v>0.20885832166426727</v>
      </c>
      <c r="U27">
        <v>0.24245090844277548</v>
      </c>
      <c r="V27">
        <v>8.0127091740064396E-2</v>
      </c>
      <c r="W27">
        <v>0.14853500459380189</v>
      </c>
    </row>
    <row r="28" spans="1:23" x14ac:dyDescent="0.3">
      <c r="B28" t="s">
        <v>18</v>
      </c>
      <c r="C28" t="s">
        <v>19</v>
      </c>
      <c r="D28" t="s">
        <v>20</v>
      </c>
      <c r="E28" t="s">
        <v>21</v>
      </c>
      <c r="H28">
        <v>0.14650286850941185</v>
      </c>
      <c r="I28">
        <v>1.6469854965335609</v>
      </c>
      <c r="J28">
        <v>-6.7040066966162604E-2</v>
      </c>
      <c r="K28">
        <v>8.0635720095346253E-2</v>
      </c>
      <c r="M28" t="s">
        <v>34</v>
      </c>
      <c r="N28" t="s">
        <v>95</v>
      </c>
      <c r="O28" t="s">
        <v>96</v>
      </c>
      <c r="P28" t="s">
        <v>97</v>
      </c>
      <c r="Q28" t="s">
        <v>98</v>
      </c>
      <c r="T28">
        <v>0.11460796118970235</v>
      </c>
      <c r="U28">
        <v>8.3082679876881563E-3</v>
      </c>
      <c r="V28">
        <v>0.1459038501357523</v>
      </c>
      <c r="W28">
        <v>0.19869051570271098</v>
      </c>
    </row>
    <row r="29" spans="1:23" x14ac:dyDescent="0.3">
      <c r="B29" t="s">
        <v>22</v>
      </c>
      <c r="D29" t="s">
        <v>23</v>
      </c>
      <c r="E29" t="s">
        <v>24</v>
      </c>
      <c r="H29">
        <v>-0.21600318941341856</v>
      </c>
      <c r="J29">
        <v>-8.72345819450695E-2</v>
      </c>
      <c r="K29">
        <v>-0.12505055230617834</v>
      </c>
      <c r="M29" t="s">
        <v>34</v>
      </c>
      <c r="N29" t="s">
        <v>99</v>
      </c>
      <c r="O29" t="s">
        <v>34</v>
      </c>
      <c r="P29" t="s">
        <v>100</v>
      </c>
      <c r="Q29" t="s">
        <v>101</v>
      </c>
      <c r="T29">
        <v>7.2841400550838376E-2</v>
      </c>
      <c r="V29">
        <v>5.0811877879482686E-2</v>
      </c>
      <c r="W29">
        <v>4.1325837040151088E-2</v>
      </c>
    </row>
  </sheetData>
  <pageMargins left="0.7" right="0.7" top="0.75" bottom="0.75" header="0.3" footer="0.3"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BE397-4FB7-49C5-BF7C-E32EBFD1C709}">
  <dimension ref="B1:BW102"/>
  <sheetViews>
    <sheetView showGridLines="0" workbookViewId="0"/>
  </sheetViews>
  <sheetFormatPr defaultRowHeight="14.4" x14ac:dyDescent="0.3"/>
  <cols>
    <col min="1" max="1" width="2.21875" customWidth="1"/>
    <col min="2" max="2" width="13" customWidth="1"/>
    <col min="3" max="3" width="16.6640625" customWidth="1"/>
    <col min="4" max="4" width="13" customWidth="1"/>
    <col min="5" max="5" width="2.21875" customWidth="1"/>
    <col min="6" max="6" width="13" customWidth="1"/>
    <col min="7" max="7" width="16.6640625" customWidth="1"/>
    <col min="8" max="8" width="13" customWidth="1"/>
    <col min="9" max="9" width="2.21875" customWidth="1"/>
    <col min="10" max="10" width="13" customWidth="1"/>
    <col min="11" max="11" width="16.6640625" customWidth="1"/>
    <col min="12" max="12" width="13" customWidth="1"/>
    <col min="13" max="13" width="2.21875" customWidth="1"/>
    <col min="14" max="14" width="13" customWidth="1"/>
    <col min="15" max="15" width="16.6640625" customWidth="1"/>
    <col min="16" max="16" width="13" customWidth="1"/>
    <col min="17" max="17" width="2.21875" customWidth="1"/>
    <col min="18" max="18" width="13" customWidth="1"/>
    <col min="19" max="19" width="16.6640625" customWidth="1"/>
    <col min="20" max="20" width="13" customWidth="1"/>
  </cols>
  <sheetData>
    <row r="1" spans="2:75" ht="25.8" x14ac:dyDescent="0.5">
      <c r="B1" s="1" t="s">
        <v>105</v>
      </c>
    </row>
    <row r="3" spans="2:75" ht="7.05" customHeight="1" x14ac:dyDescent="0.3">
      <c r="B3" s="2"/>
      <c r="C3" s="2"/>
      <c r="D3" s="2"/>
      <c r="BD3" t="str">
        <f>IF(Import!A4="","",Import!A4)</f>
        <v>DW</v>
      </c>
      <c r="BE3">
        <f>IF(Import!G4="","",Import!G4)</f>
        <v>3.4473771683392274E-2</v>
      </c>
      <c r="BF3" t="str">
        <f>IF(Import!M4="","",Import!M4)</f>
        <v>-137 bps</v>
      </c>
      <c r="BG3">
        <f>IF(Import!S4="","",Import!S4)</f>
        <v>0.62101443534875422</v>
      </c>
      <c r="BH3" t="str">
        <f>IF(Import!B4="","",Import!B4)</f>
        <v>SH CHAIN</v>
      </c>
      <c r="BI3">
        <f>IF(Import!H4="","",Import!H4)</f>
        <v>-5.7147907952479815E-2</v>
      </c>
      <c r="BJ3" t="str">
        <f>IF(Import!N4="","",Import!N4)</f>
        <v>-202 bps</v>
      </c>
      <c r="BK3">
        <f>IF(Import!T4="","",Import!T4)</f>
        <v>0.16633831280482414</v>
      </c>
      <c r="BL3" t="str">
        <f>IF(Import!C4="","",Import!C4)</f>
        <v>Tier1</v>
      </c>
      <c r="BM3">
        <f>IF(Import!I4="","",Import!I4)</f>
        <v>6.0154722519156767E-3</v>
      </c>
      <c r="BN3" t="str">
        <f>IF(Import!O4="","",Import!O4)</f>
        <v>-270 bps</v>
      </c>
      <c r="BO3">
        <f>IF(Import!U4="","",Import!U4)</f>
        <v>0.52984993873975217</v>
      </c>
      <c r="BP3" t="str">
        <f>IF(Import!D4="","",Import!D4)</f>
        <v>GBKK</v>
      </c>
      <c r="BQ3">
        <f>IF(Import!J4="","",Import!J4)</f>
        <v>1.0681761862248562E-2</v>
      </c>
      <c r="BR3" t="str">
        <f>IF(Import!P4="","",Import!P4)</f>
        <v>-70 bps</v>
      </c>
      <c r="BS3">
        <f>IF(Import!V4="","",Import!V4)</f>
        <v>0.1517230726042324</v>
      </c>
      <c r="BT3" t="str">
        <f>IF(Import!E4="","",Import!E4)</f>
        <v>S</v>
      </c>
      <c r="BU3">
        <f>IF(Import!K4="","",Import!K4)</f>
        <v>-2.9576373857395755E-2</v>
      </c>
      <c r="BV3" t="str">
        <f>IF(Import!Q4="","",Import!Q4)</f>
        <v>-182 bps</v>
      </c>
      <c r="BW3">
        <f>IF(Import!W4="","",Import!W4)</f>
        <v>0.20293123130523621</v>
      </c>
    </row>
    <row r="4" spans="2:75" ht="7.05" customHeight="1" x14ac:dyDescent="0.3">
      <c r="B4" s="2"/>
      <c r="C4" s="2"/>
      <c r="D4" s="2"/>
      <c r="BD4" t="str">
        <f>IF(Import!A5="","",Import!A5)</f>
        <v/>
      </c>
      <c r="BE4" t="str">
        <f>IF(Import!G5="","",Import!G5)</f>
        <v/>
      </c>
      <c r="BF4" t="str">
        <f>IF(Import!M5="","",Import!M5)</f>
        <v/>
      </c>
      <c r="BG4" t="str">
        <f>IF(Import!S5="","",Import!S5)</f>
        <v/>
      </c>
      <c r="BH4" t="str">
        <f>IF(Import!B5="","",Import!B5)</f>
        <v>SH Online</v>
      </c>
      <c r="BI4">
        <f>IF(Import!H5="","",Import!H5)</f>
        <v>0.44832951233728369</v>
      </c>
      <c r="BJ4" t="str">
        <f>IF(Import!N5="","",Import!N5)</f>
        <v>39 bps</v>
      </c>
      <c r="BK4">
        <f>IF(Import!T5="","",Import!T5)</f>
        <v>1.4610818471898622E-2</v>
      </c>
      <c r="BL4" t="str">
        <f>IF(Import!C5="","",Import!C5)</f>
        <v>Tier2</v>
      </c>
      <c r="BM4">
        <f>IF(Import!I5="","",Import!I5)</f>
        <v>2.2232613309382647</v>
      </c>
      <c r="BN4" t="str">
        <f>IF(Import!O5="","",Import!O5)</f>
        <v>132 bps</v>
      </c>
      <c r="BO4">
        <f>IF(Import!U5="","",Import!U5)</f>
        <v>1.9610652796561007E-2</v>
      </c>
      <c r="BP4" t="str">
        <f>IF(Import!D5="","",Import!D5)</f>
        <v>CENTRAL</v>
      </c>
      <c r="BQ4">
        <f>IF(Import!J5="","",Import!J5)</f>
        <v>2.0888919025511266E-2</v>
      </c>
      <c r="BR4" t="str">
        <f>IF(Import!P5="","",Import!P5)</f>
        <v>-54 bps</v>
      </c>
      <c r="BS4">
        <f>IF(Import!V5="","",Import!V5)</f>
        <v>0.15008273865819044</v>
      </c>
      <c r="BT4" t="str">
        <f>IF(Import!E5="","",Import!E5)</f>
        <v>M</v>
      </c>
      <c r="BU4">
        <f>IF(Import!K5="","",Import!K5)</f>
        <v>0.12213868435045327</v>
      </c>
      <c r="BV4" t="str">
        <f>IF(Import!Q5="","",Import!Q5)</f>
        <v>74 bps</v>
      </c>
      <c r="BW4">
        <f>IF(Import!W5="","",Import!W5)</f>
        <v>0.12734480337307957</v>
      </c>
    </row>
    <row r="5" spans="2:75" ht="7.05" customHeight="1" x14ac:dyDescent="0.3">
      <c r="B5" s="2"/>
      <c r="C5" s="2"/>
      <c r="D5" s="2"/>
      <c r="BD5" t="str">
        <f>IF(Import!A6="","",Import!A6)</f>
        <v/>
      </c>
      <c r="BE5" t="str">
        <f>IF(Import!G6="","",Import!G6)</f>
        <v/>
      </c>
      <c r="BF5" t="str">
        <f>IF(Import!M6="","",Import!M6)</f>
        <v/>
      </c>
      <c r="BG5" t="str">
        <f>IF(Import!S6="","",Import!S6)</f>
        <v/>
      </c>
      <c r="BH5" t="str">
        <f>IF(Import!B6="","",Import!B6)</f>
        <v>OT</v>
      </c>
      <c r="BI5">
        <f>IF(Import!H6="","",Import!H6)</f>
        <v>1.5573844791902713E-2</v>
      </c>
      <c r="BJ5" t="str">
        <f>IF(Import!N6="","",Import!N6)</f>
        <v>-77 bps</v>
      </c>
      <c r="BK5">
        <f>IF(Import!T6="","",Import!T6)</f>
        <v>0.1883654816071825</v>
      </c>
      <c r="BL5" t="str">
        <f>IF(Import!C6="","",Import!C6)</f>
        <v>Tier3</v>
      </c>
      <c r="BM5">
        <f>IF(Import!I6="","",Import!I6)</f>
        <v>5.921950077072502E-2</v>
      </c>
      <c r="BN5" t="str">
        <f>IF(Import!O6="","",Import!O6)</f>
        <v>1 bps</v>
      </c>
      <c r="BO5">
        <f>IF(Import!U6="","",Import!U6)</f>
        <v>7.1553844080874396E-2</v>
      </c>
      <c r="BP5" t="str">
        <f>IF(Import!D6="","",Import!D6)</f>
        <v>NORTH</v>
      </c>
      <c r="BQ5">
        <f>IF(Import!J6="","",Import!J6)</f>
        <v>1.7567677033856866E-2</v>
      </c>
      <c r="BR5" t="str">
        <f>IF(Import!P6="","",Import!P6)</f>
        <v>-28 bps</v>
      </c>
      <c r="BS5">
        <f>IF(Import!V6="","",Import!V6)</f>
        <v>7.1203685140820316E-2</v>
      </c>
      <c r="BT5" t="str">
        <f>IF(Import!E6="","",Import!E6)</f>
        <v>L</v>
      </c>
      <c r="BU5">
        <f>IF(Import!K6="","",Import!K6)</f>
        <v>-0.1316721885131078</v>
      </c>
      <c r="BV5" t="str">
        <f>IF(Import!Q6="","",Import!Q6)</f>
        <v>-254 bps</v>
      </c>
      <c r="BW5">
        <f>IF(Import!W6="","",Import!W6)</f>
        <v>0.11651568234055637</v>
      </c>
    </row>
    <row r="6" spans="2:75" ht="7.05" customHeight="1" x14ac:dyDescent="0.3">
      <c r="B6" s="2"/>
      <c r="C6" s="2"/>
      <c r="D6" s="2"/>
      <c r="BD6" t="str">
        <f>IF(Import!A7="","",Import!A7)</f>
        <v/>
      </c>
      <c r="BE6" t="str">
        <f>IF(Import!G7="","",Import!G7)</f>
        <v/>
      </c>
      <c r="BF6" t="str">
        <f>IF(Import!M7="","",Import!M7)</f>
        <v/>
      </c>
      <c r="BG6" t="str">
        <f>IF(Import!S7="","",Import!S7)</f>
        <v/>
      </c>
      <c r="BH6" t="str">
        <f>IF(Import!B7="","",Import!B7)</f>
        <v>LMT</v>
      </c>
      <c r="BI6">
        <f>IF(Import!H7="","",Import!H7)</f>
        <v>0.29890230135444495</v>
      </c>
      <c r="BJ6" t="str">
        <f>IF(Import!N7="","",Import!N7)</f>
        <v>260 bps</v>
      </c>
      <c r="BK6">
        <f>IF(Import!T7="","",Import!T7)</f>
        <v>0.13992112200487514</v>
      </c>
      <c r="BL6" t="str">
        <f>IF(Import!C7="","",Import!C7)</f>
        <v>Tier4</v>
      </c>
      <c r="BM6" t="str">
        <f>IF(Import!I7="","",Import!I7)</f>
        <v/>
      </c>
      <c r="BN6" t="str">
        <f>IF(Import!O7="","",Import!O7)</f>
        <v/>
      </c>
      <c r="BO6">
        <f>IF(Import!U7="","",Import!U7)</f>
        <v>0</v>
      </c>
      <c r="BP6" t="str">
        <f>IF(Import!D7="","",Import!D7)</f>
        <v>NORTHEAST</v>
      </c>
      <c r="BQ6">
        <f>IF(Import!J7="","",Import!J7)</f>
        <v>7.8040866741658332E-2</v>
      </c>
      <c r="BR6" t="str">
        <f>IF(Import!P7="","",Import!P7)</f>
        <v>34 bps</v>
      </c>
      <c r="BS6">
        <f>IF(Import!V7="","",Import!V7)</f>
        <v>0.17630647294785795</v>
      </c>
      <c r="BT6" t="str">
        <f>IF(Import!E7="","",Import!E7)</f>
        <v>XL</v>
      </c>
      <c r="BU6">
        <f>IF(Import!K7="","",Import!K7)</f>
        <v>0.21379921603854402</v>
      </c>
      <c r="BV6" t="str">
        <f>IF(Import!Q7="","",Import!Q7)</f>
        <v>225 bps</v>
      </c>
      <c r="BW6">
        <f>IF(Import!W7="","",Import!W7)</f>
        <v>0.17422271548364263</v>
      </c>
    </row>
    <row r="7" spans="2:75" ht="7.05" customHeight="1" x14ac:dyDescent="0.3">
      <c r="B7" s="2"/>
      <c r="C7" s="2"/>
      <c r="D7" s="2"/>
      <c r="BD7" t="str">
        <f>IF(Import!A8="","",Import!A8)</f>
        <v/>
      </c>
      <c r="BE7" t="str">
        <f>IF(Import!G8="","",Import!G8)</f>
        <v/>
      </c>
      <c r="BF7" t="str">
        <f>IF(Import!M8="","",Import!M8)</f>
        <v/>
      </c>
      <c r="BG7" t="str">
        <f>IF(Import!S8="","",Import!S8)</f>
        <v/>
      </c>
      <c r="BH7" t="str">
        <f>IF(Import!B8="","",Import!B8)</f>
        <v>CVS</v>
      </c>
      <c r="BI7">
        <f>IF(Import!H8="","",Import!H8)</f>
        <v>-7.3231741007007134E-2</v>
      </c>
      <c r="BJ7" t="str">
        <f>IF(Import!N8="","",Import!N8)</f>
        <v>-157 bps</v>
      </c>
      <c r="BK7">
        <f>IF(Import!T8="","",Import!T8)</f>
        <v>0.11177870045997386</v>
      </c>
      <c r="BL7" t="str">
        <f>IF(Import!C8="","",Import!C8)</f>
        <v/>
      </c>
      <c r="BM7" t="str">
        <f>IF(Import!I8="","",Import!I8)</f>
        <v/>
      </c>
      <c r="BN7" t="str">
        <f>IF(Import!O8="","",Import!O8)</f>
        <v/>
      </c>
      <c r="BO7" t="str">
        <f>IF(Import!U8="","",Import!U8)</f>
        <v/>
      </c>
      <c r="BP7" t="str">
        <f>IF(Import!D8="","",Import!D8)</f>
        <v>SOUTH</v>
      </c>
      <c r="BQ7">
        <f>IF(Import!J8="","",Import!J8)</f>
        <v>2.9114997498184136E-2</v>
      </c>
      <c r="BR7" t="str">
        <f>IF(Import!P8="","",Import!P8)</f>
        <v>-20 bps</v>
      </c>
      <c r="BS7">
        <f>IF(Import!V8="","",Import!V8)</f>
        <v>7.1698465997653102E-2</v>
      </c>
      <c r="BT7" t="str">
        <f>IF(Import!E8="","",Import!E8)</f>
        <v>XXL</v>
      </c>
      <c r="BU7" t="str">
        <f>IF(Import!K8="","",Import!K8)</f>
        <v/>
      </c>
      <c r="BV7" t="str">
        <f>IF(Import!Q8="","",Import!Q8)</f>
        <v/>
      </c>
      <c r="BW7">
        <f>IF(Import!W8="","",Import!W8)</f>
        <v>0</v>
      </c>
    </row>
    <row r="8" spans="2:75" ht="7.05" customHeight="1" x14ac:dyDescent="0.3">
      <c r="B8" s="2"/>
      <c r="C8" s="2"/>
      <c r="D8" s="2"/>
    </row>
    <row r="9" spans="2:75" ht="7.05" customHeight="1" x14ac:dyDescent="0.3">
      <c r="B9" s="2"/>
      <c r="C9" s="2"/>
      <c r="D9" s="2"/>
    </row>
    <row r="10" spans="2:75" ht="7.05" customHeight="1" x14ac:dyDescent="0.3">
      <c r="B10" s="2"/>
      <c r="C10" s="2"/>
      <c r="D10" s="2"/>
    </row>
    <row r="11" spans="2:75" ht="7.05" customHeight="1" x14ac:dyDescent="0.3">
      <c r="B11" s="2"/>
      <c r="C11" s="2"/>
      <c r="D11" s="2"/>
    </row>
    <row r="12" spans="2:75" ht="7.05" customHeight="1" x14ac:dyDescent="0.3">
      <c r="B12" s="2"/>
      <c r="C12" s="2"/>
      <c r="D12" s="2"/>
    </row>
    <row r="13" spans="2:75" ht="7.05" customHeight="1" x14ac:dyDescent="0.3">
      <c r="B13" s="2"/>
      <c r="C13" s="2"/>
      <c r="D13" s="2"/>
    </row>
    <row r="14" spans="2:75" ht="7.05" customHeight="1" x14ac:dyDescent="0.3">
      <c r="B14" s="2"/>
      <c r="C14" s="2"/>
      <c r="D14" s="2"/>
    </row>
    <row r="15" spans="2:75" ht="7.05" customHeight="1" x14ac:dyDescent="0.3">
      <c r="B15" s="2"/>
      <c r="C15" s="2"/>
      <c r="D15" s="2"/>
    </row>
    <row r="16" spans="2:75" ht="7.05" customHeight="1" x14ac:dyDescent="0.3">
      <c r="B16" s="2"/>
      <c r="C16" s="2"/>
      <c r="D16" s="2"/>
    </row>
    <row r="17" spans="2:4" ht="7.05" customHeight="1" x14ac:dyDescent="0.3">
      <c r="B17" s="2"/>
      <c r="C17" s="2"/>
      <c r="D17" s="2"/>
    </row>
    <row r="18" spans="2:4" ht="7.05" customHeight="1" x14ac:dyDescent="0.3">
      <c r="B18" s="2"/>
      <c r="C18" s="2"/>
      <c r="D18" s="2"/>
    </row>
    <row r="19" spans="2:4" ht="7.05" customHeight="1" x14ac:dyDescent="0.3">
      <c r="B19" s="2"/>
      <c r="C19" s="2"/>
      <c r="D19" s="2"/>
    </row>
    <row r="20" spans="2:4" ht="7.05" customHeight="1" x14ac:dyDescent="0.3">
      <c r="B20" s="2"/>
      <c r="C20" s="2"/>
      <c r="D20" s="2"/>
    </row>
    <row r="21" spans="2:4" ht="7.05" customHeight="1" x14ac:dyDescent="0.3">
      <c r="B21" s="2"/>
      <c r="C21" s="2"/>
      <c r="D21" s="2"/>
    </row>
    <row r="22" spans="2:4" ht="7.05" customHeight="1" x14ac:dyDescent="0.3">
      <c r="B22" s="2"/>
      <c r="C22" s="2"/>
      <c r="D22" s="2"/>
    </row>
    <row r="23" spans="2:4" ht="7.05" customHeight="1" x14ac:dyDescent="0.3">
      <c r="B23" s="2"/>
      <c r="C23" s="2"/>
      <c r="D23" s="2"/>
    </row>
    <row r="24" spans="2:4" ht="7.05" customHeight="1" x14ac:dyDescent="0.3">
      <c r="B24" s="2"/>
      <c r="C24" s="2"/>
      <c r="D24" s="2"/>
    </row>
    <row r="25" spans="2:4" ht="7.05" customHeight="1" x14ac:dyDescent="0.3">
      <c r="B25" s="2"/>
      <c r="C25" s="2"/>
      <c r="D25" s="2"/>
    </row>
    <row r="26" spans="2:4" ht="7.05" customHeight="1" x14ac:dyDescent="0.3">
      <c r="B26" s="2"/>
      <c r="C26" s="2"/>
      <c r="D26" s="2"/>
    </row>
    <row r="27" spans="2:4" ht="7.05" customHeight="1" x14ac:dyDescent="0.3">
      <c r="B27" s="2"/>
      <c r="C27" s="2"/>
      <c r="D27" s="2"/>
    </row>
    <row r="28" spans="2:4" ht="7.05" customHeight="1" x14ac:dyDescent="0.3">
      <c r="B28" s="2"/>
      <c r="C28" s="2"/>
      <c r="D28" s="2"/>
    </row>
    <row r="29" spans="2:4" ht="7.05" customHeight="1" x14ac:dyDescent="0.3">
      <c r="B29" s="2"/>
      <c r="C29" s="2"/>
      <c r="D29" s="2"/>
    </row>
    <row r="30" spans="2:4" ht="7.05" customHeight="1" x14ac:dyDescent="0.3">
      <c r="B30" s="2"/>
      <c r="C30" s="2"/>
      <c r="D30" s="2"/>
    </row>
    <row r="31" spans="2:4" ht="7.05" customHeight="1" x14ac:dyDescent="0.3">
      <c r="B31" s="2"/>
      <c r="C31" s="2"/>
      <c r="D31" s="2"/>
    </row>
    <row r="32" spans="2:4" ht="7.05" customHeight="1" x14ac:dyDescent="0.3">
      <c r="B32" s="2"/>
      <c r="C32" s="2"/>
      <c r="D32" s="2"/>
    </row>
    <row r="33" spans="2:4" ht="7.05" customHeight="1" x14ac:dyDescent="0.3">
      <c r="B33" s="2"/>
      <c r="C33" s="2"/>
      <c r="D33" s="2"/>
    </row>
    <row r="34" spans="2:4" ht="7.05" customHeight="1" x14ac:dyDescent="0.3">
      <c r="B34" s="2"/>
      <c r="C34" s="2"/>
      <c r="D34" s="2"/>
    </row>
    <row r="35" spans="2:4" ht="7.05" customHeight="1" x14ac:dyDescent="0.3">
      <c r="B35" s="2"/>
      <c r="C35" s="2"/>
      <c r="D35" s="2"/>
    </row>
    <row r="36" spans="2:4" ht="7.05" customHeight="1" x14ac:dyDescent="0.3">
      <c r="B36" s="2"/>
      <c r="C36" s="2"/>
      <c r="D36" s="2"/>
    </row>
    <row r="37" spans="2:4" ht="7.05" customHeight="1" x14ac:dyDescent="0.3">
      <c r="B37" s="2"/>
      <c r="C37" s="2"/>
      <c r="D37" s="2"/>
    </row>
    <row r="38" spans="2:4" ht="7.05" customHeight="1" x14ac:dyDescent="0.3">
      <c r="B38" s="2"/>
      <c r="C38" s="2"/>
      <c r="D38" s="2"/>
    </row>
    <row r="39" spans="2:4" ht="7.05" customHeight="1" x14ac:dyDescent="0.3">
      <c r="B39" s="2"/>
      <c r="C39" s="2"/>
      <c r="D39" s="2"/>
    </row>
    <row r="40" spans="2:4" ht="7.05" customHeight="1" x14ac:dyDescent="0.3">
      <c r="B40" s="2"/>
      <c r="C40" s="2"/>
      <c r="D40" s="2"/>
    </row>
    <row r="41" spans="2:4" ht="7.05" customHeight="1" x14ac:dyDescent="0.3">
      <c r="B41" s="2"/>
      <c r="C41" s="2"/>
      <c r="D41" s="2"/>
    </row>
    <row r="42" spans="2:4" ht="7.05" customHeight="1" x14ac:dyDescent="0.3">
      <c r="B42" s="2"/>
      <c r="C42" s="2"/>
      <c r="D42" s="2"/>
    </row>
    <row r="43" spans="2:4" ht="7.05" customHeight="1" x14ac:dyDescent="0.3">
      <c r="B43" s="2"/>
      <c r="C43" s="2"/>
      <c r="D43" s="2"/>
    </row>
    <row r="44" spans="2:4" ht="7.05" customHeight="1" x14ac:dyDescent="0.3">
      <c r="B44" s="2"/>
      <c r="C44" s="2"/>
      <c r="D44" s="2"/>
    </row>
    <row r="45" spans="2:4" ht="7.05" customHeight="1" x14ac:dyDescent="0.3">
      <c r="B45" s="2"/>
      <c r="C45" s="2"/>
      <c r="D45" s="2"/>
    </row>
    <row r="46" spans="2:4" ht="7.05" customHeight="1" x14ac:dyDescent="0.3">
      <c r="B46" s="2"/>
      <c r="C46" s="2"/>
      <c r="D46" s="2"/>
    </row>
    <row r="47" spans="2:4" ht="7.05" customHeight="1" x14ac:dyDescent="0.3">
      <c r="B47" s="2"/>
      <c r="C47" s="2"/>
      <c r="D47" s="2"/>
    </row>
    <row r="48" spans="2:4" ht="7.05" customHeight="1" x14ac:dyDescent="0.3">
      <c r="B48" s="2"/>
      <c r="C48" s="2"/>
      <c r="D48" s="2"/>
    </row>
    <row r="49" spans="2:4" ht="7.05" customHeight="1" x14ac:dyDescent="0.3">
      <c r="B49" s="2"/>
      <c r="C49" s="2"/>
      <c r="D49" s="2"/>
    </row>
    <row r="50" spans="2:4" ht="7.05" customHeight="1" x14ac:dyDescent="0.3">
      <c r="B50" s="2"/>
      <c r="C50" s="2"/>
      <c r="D50" s="2"/>
    </row>
    <row r="51" spans="2:4" ht="7.05" customHeight="1" x14ac:dyDescent="0.3">
      <c r="B51" s="2"/>
      <c r="C51" s="2"/>
      <c r="D51" s="2"/>
    </row>
    <row r="52" spans="2:4" ht="7.05" customHeight="1" x14ac:dyDescent="0.3">
      <c r="B52" s="2"/>
      <c r="C52" s="2"/>
      <c r="D52" s="2"/>
    </row>
    <row r="53" spans="2:4" ht="7.05" customHeight="1" x14ac:dyDescent="0.3">
      <c r="B53" s="2"/>
      <c r="C53" s="2"/>
      <c r="D53" s="2"/>
    </row>
    <row r="54" spans="2:4" ht="7.05" customHeight="1" x14ac:dyDescent="0.3">
      <c r="B54" s="2"/>
      <c r="C54" s="2"/>
      <c r="D54" s="2"/>
    </row>
    <row r="55" spans="2:4" ht="7.05" customHeight="1" x14ac:dyDescent="0.3">
      <c r="B55" s="2"/>
      <c r="C55" s="2"/>
      <c r="D55" s="2"/>
    </row>
    <row r="56" spans="2:4" ht="7.05" customHeight="1" x14ac:dyDescent="0.3">
      <c r="B56" s="2"/>
      <c r="C56" s="2"/>
      <c r="D56" s="2"/>
    </row>
    <row r="57" spans="2:4" ht="7.05" customHeight="1" x14ac:dyDescent="0.3">
      <c r="B57" s="2"/>
      <c r="C57" s="2"/>
      <c r="D57" s="2"/>
    </row>
    <row r="58" spans="2:4" ht="7.05" customHeight="1" x14ac:dyDescent="0.3">
      <c r="B58" s="2"/>
      <c r="C58" s="2"/>
      <c r="D58" s="2"/>
    </row>
    <row r="59" spans="2:4" ht="7.05" customHeight="1" x14ac:dyDescent="0.3">
      <c r="B59" s="2"/>
      <c r="C59" s="2"/>
      <c r="D59" s="2"/>
    </row>
    <row r="60" spans="2:4" ht="7.05" customHeight="1" x14ac:dyDescent="0.3">
      <c r="B60" s="2"/>
      <c r="C60" s="2"/>
      <c r="D60" s="2"/>
    </row>
    <row r="61" spans="2:4" ht="7.05" customHeight="1" x14ac:dyDescent="0.3">
      <c r="B61" s="2"/>
      <c r="C61" s="2"/>
      <c r="D61" s="2"/>
    </row>
    <row r="62" spans="2:4" ht="7.05" customHeight="1" x14ac:dyDescent="0.3">
      <c r="B62" s="2"/>
      <c r="C62" s="2"/>
      <c r="D62" s="2"/>
    </row>
    <row r="63" spans="2:4" ht="7.05" customHeight="1" x14ac:dyDescent="0.3">
      <c r="B63" s="2"/>
      <c r="C63" s="2"/>
      <c r="D63" s="2"/>
    </row>
    <row r="64" spans="2:4" ht="7.05" customHeight="1" x14ac:dyDescent="0.3">
      <c r="B64" s="2"/>
      <c r="C64" s="2"/>
      <c r="D64" s="2"/>
    </row>
    <row r="65" spans="2:4" ht="7.05" customHeight="1" x14ac:dyDescent="0.3">
      <c r="B65" s="2"/>
      <c r="C65" s="2"/>
      <c r="D65" s="2"/>
    </row>
    <row r="66" spans="2:4" ht="7.05" customHeight="1" x14ac:dyDescent="0.3">
      <c r="B66" s="2"/>
      <c r="C66" s="2"/>
      <c r="D66" s="2"/>
    </row>
    <row r="67" spans="2:4" ht="7.05" customHeight="1" x14ac:dyDescent="0.3">
      <c r="B67" s="2"/>
      <c r="C67" s="2"/>
      <c r="D67" s="2"/>
    </row>
    <row r="68" spans="2:4" ht="7.05" customHeight="1" x14ac:dyDescent="0.3">
      <c r="B68" s="2"/>
      <c r="C68" s="2"/>
      <c r="D68" s="2"/>
    </row>
    <row r="69" spans="2:4" ht="7.05" customHeight="1" x14ac:dyDescent="0.3">
      <c r="B69" s="2"/>
      <c r="C69" s="2"/>
      <c r="D69" s="2"/>
    </row>
    <row r="70" spans="2:4" ht="7.05" customHeight="1" x14ac:dyDescent="0.3">
      <c r="B70" s="2"/>
      <c r="C70" s="2"/>
      <c r="D70" s="2"/>
    </row>
    <row r="71" spans="2:4" ht="7.05" customHeight="1" x14ac:dyDescent="0.3">
      <c r="B71" s="2"/>
      <c r="C71" s="2"/>
      <c r="D71" s="2"/>
    </row>
    <row r="72" spans="2:4" ht="7.05" customHeight="1" x14ac:dyDescent="0.3">
      <c r="B72" s="2"/>
      <c r="C72" s="2"/>
      <c r="D72" s="2"/>
    </row>
    <row r="73" spans="2:4" ht="7.05" customHeight="1" x14ac:dyDescent="0.3">
      <c r="B73" s="2"/>
      <c r="C73" s="2"/>
      <c r="D73" s="2"/>
    </row>
    <row r="74" spans="2:4" ht="7.05" customHeight="1" x14ac:dyDescent="0.3">
      <c r="B74" s="2"/>
      <c r="C74" s="2"/>
      <c r="D74" s="2"/>
    </row>
    <row r="75" spans="2:4" ht="7.05" customHeight="1" x14ac:dyDescent="0.3">
      <c r="B75" s="2"/>
      <c r="C75" s="2"/>
      <c r="D75" s="2"/>
    </row>
    <row r="76" spans="2:4" ht="7.05" customHeight="1" x14ac:dyDescent="0.3">
      <c r="B76" s="2"/>
      <c r="C76" s="2"/>
      <c r="D76" s="2"/>
    </row>
    <row r="77" spans="2:4" ht="7.05" customHeight="1" x14ac:dyDescent="0.3">
      <c r="B77" s="2"/>
      <c r="C77" s="2"/>
      <c r="D77" s="2"/>
    </row>
    <row r="78" spans="2:4" ht="7.05" customHeight="1" x14ac:dyDescent="0.3">
      <c r="B78" s="2"/>
      <c r="C78" s="2"/>
      <c r="D78" s="2"/>
    </row>
    <row r="79" spans="2:4" ht="7.05" customHeight="1" x14ac:dyDescent="0.3">
      <c r="B79" s="2"/>
      <c r="C79" s="2"/>
      <c r="D79" s="2"/>
    </row>
    <row r="80" spans="2:4" ht="7.05" customHeight="1" x14ac:dyDescent="0.3">
      <c r="B80" s="2"/>
      <c r="C80" s="2"/>
      <c r="D80" s="2"/>
    </row>
    <row r="81" spans="2:4" ht="7.05" customHeight="1" x14ac:dyDescent="0.3">
      <c r="B81" s="2"/>
      <c r="C81" s="2"/>
      <c r="D81" s="2"/>
    </row>
    <row r="82" spans="2:4" ht="7.05" customHeight="1" x14ac:dyDescent="0.3">
      <c r="B82" s="2"/>
      <c r="C82" s="2"/>
      <c r="D82" s="2"/>
    </row>
    <row r="83" spans="2:4" ht="7.05" customHeight="1" x14ac:dyDescent="0.3">
      <c r="B83" s="2"/>
      <c r="C83" s="2"/>
      <c r="D83" s="2"/>
    </row>
    <row r="84" spans="2:4" ht="7.05" customHeight="1" x14ac:dyDescent="0.3">
      <c r="B84" s="2"/>
      <c r="C84" s="2"/>
      <c r="D84" s="2"/>
    </row>
    <row r="85" spans="2:4" ht="7.05" customHeight="1" x14ac:dyDescent="0.3">
      <c r="B85" s="2"/>
      <c r="C85" s="2"/>
      <c r="D85" s="2"/>
    </row>
    <row r="86" spans="2:4" ht="7.05" customHeight="1" x14ac:dyDescent="0.3">
      <c r="B86" s="2"/>
      <c r="C86" s="2"/>
      <c r="D86" s="2"/>
    </row>
    <row r="87" spans="2:4" ht="7.05" customHeight="1" x14ac:dyDescent="0.3">
      <c r="B87" s="2"/>
      <c r="C87" s="2"/>
      <c r="D87" s="2"/>
    </row>
    <row r="88" spans="2:4" ht="7.05" customHeight="1" x14ac:dyDescent="0.3">
      <c r="B88" s="2"/>
      <c r="C88" s="2"/>
      <c r="D88" s="2"/>
    </row>
    <row r="89" spans="2:4" ht="7.05" customHeight="1" x14ac:dyDescent="0.3">
      <c r="B89" s="2"/>
      <c r="C89" s="2"/>
      <c r="D89" s="2"/>
    </row>
    <row r="90" spans="2:4" ht="7.05" customHeight="1" x14ac:dyDescent="0.3">
      <c r="B90" s="2"/>
      <c r="C90" s="2"/>
      <c r="D90" s="2"/>
    </row>
    <row r="91" spans="2:4" ht="7.05" customHeight="1" x14ac:dyDescent="0.3">
      <c r="B91" s="2"/>
      <c r="C91" s="2"/>
      <c r="D91" s="2"/>
    </row>
    <row r="92" spans="2:4" ht="7.05" customHeight="1" x14ac:dyDescent="0.3">
      <c r="B92" s="2"/>
      <c r="C92" s="2"/>
      <c r="D92" s="2"/>
    </row>
    <row r="93" spans="2:4" ht="7.05" customHeight="1" x14ac:dyDescent="0.3">
      <c r="B93" s="2"/>
      <c r="C93" s="2"/>
      <c r="D93" s="2"/>
    </row>
    <row r="94" spans="2:4" ht="7.05" customHeight="1" x14ac:dyDescent="0.3">
      <c r="B94" s="2"/>
      <c r="C94" s="2"/>
      <c r="D94" s="2"/>
    </row>
    <row r="95" spans="2:4" ht="7.05" customHeight="1" x14ac:dyDescent="0.3">
      <c r="B95" s="2"/>
      <c r="C95" s="2"/>
      <c r="D95" s="2"/>
    </row>
    <row r="96" spans="2:4" ht="7.05" customHeight="1" x14ac:dyDescent="0.3">
      <c r="B96" s="2"/>
      <c r="C96" s="2"/>
      <c r="D96" s="2"/>
    </row>
    <row r="97" spans="2:4" ht="7.05" customHeight="1" x14ac:dyDescent="0.3">
      <c r="B97" s="2"/>
      <c r="C97" s="2"/>
      <c r="D97" s="2"/>
    </row>
    <row r="98" spans="2:4" ht="7.05" customHeight="1" x14ac:dyDescent="0.3">
      <c r="B98" s="2"/>
      <c r="C98" s="2"/>
      <c r="D98" s="2"/>
    </row>
    <row r="99" spans="2:4" ht="7.05" customHeight="1" x14ac:dyDescent="0.3">
      <c r="B99" s="2"/>
      <c r="C99" s="2"/>
      <c r="D99" s="2"/>
    </row>
    <row r="100" spans="2:4" ht="7.05" customHeight="1" x14ac:dyDescent="0.3">
      <c r="B100" s="2"/>
      <c r="C100" s="2"/>
      <c r="D100" s="2"/>
    </row>
    <row r="101" spans="2:4" ht="7.05" customHeight="1" x14ac:dyDescent="0.3">
      <c r="B101" s="2"/>
      <c r="C101" s="2"/>
      <c r="D101" s="2"/>
    </row>
    <row r="102" spans="2:4" ht="7.05" customHeight="1" x14ac:dyDescent="0.3">
      <c r="B102" s="2"/>
      <c r="C102" s="2"/>
      <c r="D10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D23DE-7A82-4B32-9938-75ABA57D35A4}">
  <dimension ref="B1:BW102"/>
  <sheetViews>
    <sheetView showGridLines="0" workbookViewId="0"/>
  </sheetViews>
  <sheetFormatPr defaultRowHeight="14.4" x14ac:dyDescent="0.3"/>
  <cols>
    <col min="1" max="1" width="2.21875" customWidth="1"/>
    <col min="2" max="2" width="13" customWidth="1"/>
    <col min="3" max="3" width="16.6640625" customWidth="1"/>
    <col min="4" max="4" width="13" customWidth="1"/>
    <col min="5" max="5" width="2.21875" customWidth="1"/>
    <col min="6" max="6" width="13" customWidth="1"/>
    <col min="7" max="7" width="16.6640625" customWidth="1"/>
    <col min="8" max="8" width="13" customWidth="1"/>
    <col min="9" max="9" width="2.21875" customWidth="1"/>
    <col min="10" max="10" width="13" customWidth="1"/>
    <col min="11" max="11" width="16.6640625" customWidth="1"/>
    <col min="12" max="12" width="13" customWidth="1"/>
    <col min="13" max="13" width="2.21875" customWidth="1"/>
    <col min="14" max="14" width="13" customWidth="1"/>
    <col min="15" max="15" width="16.6640625" customWidth="1"/>
    <col min="16" max="16" width="13" customWidth="1"/>
    <col min="17" max="17" width="2.21875" customWidth="1"/>
    <col min="18" max="18" width="13" customWidth="1"/>
    <col min="19" max="19" width="16.6640625" customWidth="1"/>
    <col min="20" max="20" width="13" customWidth="1"/>
  </cols>
  <sheetData>
    <row r="1" spans="2:75" ht="25.8" x14ac:dyDescent="0.5">
      <c r="B1" s="1" t="s">
        <v>106</v>
      </c>
    </row>
    <row r="3" spans="2:75" ht="7.05" customHeight="1" x14ac:dyDescent="0.3">
      <c r="BD3" t="str">
        <f>IF(Import!A11="","",Import!A11)</f>
        <v>FAB ENH</v>
      </c>
      <c r="BE3">
        <f>IF(Import!G11="","",Import!G11)</f>
        <v>0.12792494859320858</v>
      </c>
      <c r="BF3" t="str">
        <f>IF(Import!M11="","",Import!M11)</f>
        <v>47 bps</v>
      </c>
      <c r="BG3">
        <f>IF(Import!S11="","",Import!S11)</f>
        <v>0.14301828311901507</v>
      </c>
      <c r="BH3" t="str">
        <f>IF(Import!B11="","",Import!B11)</f>
        <v>SH CHAIN</v>
      </c>
      <c r="BI3">
        <f>IF(Import!H11="","",Import!H11)</f>
        <v>0.29863890912270907</v>
      </c>
      <c r="BJ3" t="str">
        <f>IF(Import!N11="","",Import!N11)</f>
        <v>79 bps</v>
      </c>
      <c r="BK3">
        <f>IF(Import!T11="","",Import!T11)</f>
        <v>4.9774059451727193E-2</v>
      </c>
      <c r="BL3" t="str">
        <f>IF(Import!C11="","",Import!C11)</f>
        <v>Tier1</v>
      </c>
      <c r="BM3">
        <f>IF(Import!I11="","",Import!I11)</f>
        <v>-0.85537963081382962</v>
      </c>
      <c r="BN3" t="str">
        <f>IF(Import!O11="","",Import!O11)</f>
        <v>-173 bps</v>
      </c>
      <c r="BO3" t="str">
        <f>IF(Import!U11="","",Import!U11)</f>
        <v/>
      </c>
      <c r="BP3" t="str">
        <f>IF(Import!D11="","",Import!D11)</f>
        <v>GBKK</v>
      </c>
      <c r="BQ3">
        <f>IF(Import!J11="","",Import!J11)</f>
        <v>0.12460977165484288</v>
      </c>
      <c r="BR3" t="str">
        <f>IF(Import!P11="","",Import!P11)</f>
        <v>14 bps</v>
      </c>
      <c r="BS3">
        <f>IF(Import!V11="","",Import!V11)</f>
        <v>4.6661037854068048E-2</v>
      </c>
      <c r="BT3" t="str">
        <f>IF(Import!E11="","",Import!E11)</f>
        <v>S</v>
      </c>
      <c r="BU3">
        <f>IF(Import!K11="","",Import!K11)</f>
        <v>-0.22649364034066344</v>
      </c>
      <c r="BV3" t="str">
        <f>IF(Import!Q11="","",Import!Q11)</f>
        <v>-64 bps</v>
      </c>
      <c r="BW3">
        <f>IF(Import!W11="","",Import!W11)</f>
        <v>1.5680976609418057E-2</v>
      </c>
    </row>
    <row r="4" spans="2:75" ht="7.05" customHeight="1" x14ac:dyDescent="0.3">
      <c r="BD4" t="str">
        <f>IF(Import!A12="","",Import!A12)</f>
        <v/>
      </c>
      <c r="BE4" t="str">
        <f>IF(Import!G12="","",Import!G12)</f>
        <v/>
      </c>
      <c r="BF4" t="str">
        <f>IF(Import!M12="","",Import!M12)</f>
        <v/>
      </c>
      <c r="BG4" t="str">
        <f>IF(Import!S12="","",Import!S12)</f>
        <v/>
      </c>
      <c r="BH4" t="str">
        <f>IF(Import!B12="","",Import!B12)</f>
        <v>SH Online</v>
      </c>
      <c r="BI4">
        <f>IF(Import!H12="","",Import!H12)</f>
        <v>0.40017390448729206</v>
      </c>
      <c r="BJ4" t="str">
        <f>IF(Import!N12="","",Import!N12)</f>
        <v>5 bps</v>
      </c>
      <c r="BK4" t="str">
        <f>IF(Import!T12="","",Import!T12)</f>
        <v/>
      </c>
      <c r="BL4" t="str">
        <f>IF(Import!C12="","",Import!C12)</f>
        <v>Tier2</v>
      </c>
      <c r="BM4">
        <f>IF(Import!I12="","",Import!I12)</f>
        <v>0.424338560735674</v>
      </c>
      <c r="BN4" t="str">
        <f>IF(Import!O12="","",Import!O12)</f>
        <v>275 bps</v>
      </c>
      <c r="BO4">
        <f>IF(Import!U12="","",Import!U12)</f>
        <v>0.123</v>
      </c>
      <c r="BP4" t="str">
        <f>IF(Import!D12="","",Import!D12)</f>
        <v>CENTRAL</v>
      </c>
      <c r="BQ4">
        <f>IF(Import!J12="","",Import!J12)</f>
        <v>0.17862988956366155</v>
      </c>
      <c r="BR4" t="str">
        <f>IF(Import!P12="","",Import!P12)</f>
        <v>31 bps</v>
      </c>
      <c r="BS4">
        <f>IF(Import!V12="","",Import!V12)</f>
        <v>4.220720963296231E-2</v>
      </c>
      <c r="BT4" t="str">
        <f>IF(Import!E12="","",Import!E12)</f>
        <v>M</v>
      </c>
      <c r="BU4">
        <f>IF(Import!K12="","",Import!K12)</f>
        <v>-0.79275633486257024</v>
      </c>
      <c r="BV4" t="str">
        <f>IF(Import!Q12="","",Import!Q12)</f>
        <v>-52 bps</v>
      </c>
      <c r="BW4" t="str">
        <f>IF(Import!W12="","",Import!W12)</f>
        <v/>
      </c>
    </row>
    <row r="5" spans="2:75" ht="7.05" customHeight="1" x14ac:dyDescent="0.3">
      <c r="BD5" t="str">
        <f>IF(Import!A13="","",Import!A13)</f>
        <v/>
      </c>
      <c r="BE5" t="str">
        <f>IF(Import!G13="","",Import!G13)</f>
        <v/>
      </c>
      <c r="BF5" t="str">
        <f>IF(Import!M13="","",Import!M13)</f>
        <v/>
      </c>
      <c r="BG5" t="str">
        <f>IF(Import!S13="","",Import!S13)</f>
        <v/>
      </c>
      <c r="BH5" t="str">
        <f>IF(Import!B13="","",Import!B13)</f>
        <v>OT</v>
      </c>
      <c r="BI5">
        <f>IF(Import!H13="","",Import!H13)</f>
        <v>1.8240480651653845E-2</v>
      </c>
      <c r="BJ5" t="str">
        <f>IF(Import!N13="","",Import!N13)</f>
        <v>-18 bps</v>
      </c>
      <c r="BK5">
        <f>IF(Import!T13="","",Import!T13)</f>
        <v>2.475974854191771E-2</v>
      </c>
      <c r="BL5" t="str">
        <f>IF(Import!C13="","",Import!C13)</f>
        <v>Tier3</v>
      </c>
      <c r="BM5">
        <f>IF(Import!I13="","",Import!I13)</f>
        <v>-8.5769450534285196E-2</v>
      </c>
      <c r="BN5" t="str">
        <f>IF(Import!O13="","",Import!O13)</f>
        <v>-41 bps</v>
      </c>
      <c r="BO5">
        <f>IF(Import!U13="","",Import!U13)</f>
        <v>0.02</v>
      </c>
      <c r="BP5" t="str">
        <f>IF(Import!D13="","",Import!D13)</f>
        <v>NORTH</v>
      </c>
      <c r="BQ5">
        <f>IF(Import!J13="","",Import!J13)</f>
        <v>4.5176200271348277E-2</v>
      </c>
      <c r="BR5" t="str">
        <f>IF(Import!P13="","",Import!P13)</f>
        <v>-7 bps</v>
      </c>
      <c r="BS5">
        <f>IF(Import!V13="","",Import!V13)</f>
        <v>1.5791583596778354E-2</v>
      </c>
      <c r="BT5" t="str">
        <f>IF(Import!E13="","",Import!E13)</f>
        <v>L</v>
      </c>
      <c r="BU5">
        <f>IF(Import!K13="","",Import!K13)</f>
        <v>9.523052020335232E-2</v>
      </c>
      <c r="BV5" t="str">
        <f>IF(Import!Q13="","",Import!Q13)</f>
        <v>3 bps</v>
      </c>
      <c r="BW5">
        <f>IF(Import!W13="","",Import!W13)</f>
        <v>0.08</v>
      </c>
    </row>
    <row r="6" spans="2:75" ht="7.05" customHeight="1" x14ac:dyDescent="0.3">
      <c r="BD6" t="str">
        <f>IF(Import!A14="","",Import!A14)</f>
        <v/>
      </c>
      <c r="BE6" t="str">
        <f>IF(Import!G14="","",Import!G14)</f>
        <v/>
      </c>
      <c r="BF6" t="str">
        <f>IF(Import!M14="","",Import!M14)</f>
        <v/>
      </c>
      <c r="BG6" t="str">
        <f>IF(Import!S14="","",Import!S14)</f>
        <v/>
      </c>
      <c r="BH6" t="str">
        <f>IF(Import!B14="","",Import!B14)</f>
        <v>LMT</v>
      </c>
      <c r="BI6">
        <f>IF(Import!H14="","",Import!H14)</f>
        <v>0.22587844538678326</v>
      </c>
      <c r="BJ6" t="str">
        <f>IF(Import!N14="","",Import!N14)</f>
        <v>32 bps</v>
      </c>
      <c r="BK6">
        <f>IF(Import!T14="","",Import!T14)</f>
        <v>2.8500000000000001E-2</v>
      </c>
      <c r="BL6" t="str">
        <f>IF(Import!C14="","",Import!C14)</f>
        <v>Tier4</v>
      </c>
      <c r="BM6">
        <f>IF(Import!I14="","",Import!I14)</f>
        <v>-0.38776860609029129</v>
      </c>
      <c r="BN6" t="str">
        <f>IF(Import!O14="","",Import!O14)</f>
        <v>-14 bps</v>
      </c>
      <c r="BO6" t="str">
        <f>IF(Import!U14="","",Import!U14)</f>
        <v/>
      </c>
      <c r="BP6" t="str">
        <f>IF(Import!D14="","",Import!D14)</f>
        <v>NORTHEAST</v>
      </c>
      <c r="BQ6">
        <f>IF(Import!J14="","",Import!J14)</f>
        <v>0.10927052637958545</v>
      </c>
      <c r="BR6" t="str">
        <f>IF(Import!P14="","",Import!P14)</f>
        <v>4 bps</v>
      </c>
      <c r="BS6">
        <f>IF(Import!V14="","",Import!V14)</f>
        <v>2.5993493302898536E-2</v>
      </c>
      <c r="BT6" t="str">
        <f>IF(Import!E14="","",Import!E14)</f>
        <v>XL</v>
      </c>
      <c r="BU6">
        <f>IF(Import!K14="","",Import!K14)</f>
        <v>0.65422605283273016</v>
      </c>
      <c r="BV6" t="str">
        <f>IF(Import!Q14="","",Import!Q14)</f>
        <v>163 bps</v>
      </c>
      <c r="BW6">
        <f>IF(Import!W14="","",Import!W14)</f>
        <v>4.7E-2</v>
      </c>
    </row>
    <row r="7" spans="2:75" ht="7.05" customHeight="1" x14ac:dyDescent="0.3">
      <c r="BD7" t="str">
        <f>IF(Import!A15="","",Import!A15)</f>
        <v/>
      </c>
      <c r="BE7" t="str">
        <f>IF(Import!G15="","",Import!G15)</f>
        <v/>
      </c>
      <c r="BF7" t="str">
        <f>IF(Import!M15="","",Import!M15)</f>
        <v/>
      </c>
      <c r="BG7" t="str">
        <f>IF(Import!S15="","",Import!S15)</f>
        <v/>
      </c>
      <c r="BH7" t="str">
        <f>IF(Import!B15="","",Import!B15)</f>
        <v>CVS</v>
      </c>
      <c r="BI7">
        <f>IF(Import!H15="","",Import!H15)</f>
        <v>-4.2630634365630748E-2</v>
      </c>
      <c r="BJ7" t="str">
        <f>IF(Import!N15="","",Import!N15)</f>
        <v>-52 bps</v>
      </c>
      <c r="BK7">
        <f>IF(Import!T15="","",Import!T15)</f>
        <v>0.04</v>
      </c>
      <c r="BL7" t="str">
        <f>IF(Import!C15="","",Import!C15)</f>
        <v/>
      </c>
      <c r="BM7" t="str">
        <f>IF(Import!I15="","",Import!I15)</f>
        <v/>
      </c>
      <c r="BN7" t="str">
        <f>IF(Import!O15="","",Import!O15)</f>
        <v/>
      </c>
      <c r="BO7" t="str">
        <f>IF(Import!U15="","",Import!U15)</f>
        <v/>
      </c>
      <c r="BP7" t="str">
        <f>IF(Import!D15="","",Import!D15)</f>
        <v>SOUTH</v>
      </c>
      <c r="BQ7">
        <f>IF(Import!J15="","",Import!J15)</f>
        <v>0.12876172712226563</v>
      </c>
      <c r="BR7" t="str">
        <f>IF(Import!P15="","",Import!P15)</f>
        <v>4 bps</v>
      </c>
      <c r="BS7">
        <f>IF(Import!V15="","",Import!V15)</f>
        <v>1.2364958732307835E-2</v>
      </c>
      <c r="BT7" t="str">
        <f>IF(Import!E15="","",Import!E15)</f>
        <v>XXL</v>
      </c>
      <c r="BU7">
        <f>IF(Import!K15="","",Import!K15)</f>
        <v>-5.3766533083082435E-2</v>
      </c>
      <c r="BV7" t="str">
        <f>IF(Import!Q15="","",Import!Q15)</f>
        <v>-2 bps</v>
      </c>
      <c r="BW7" t="str">
        <f>IF(Import!W15="","",Import!W15)</f>
        <v/>
      </c>
    </row>
    <row r="8" spans="2:75" ht="7.05" customHeight="1" x14ac:dyDescent="0.3"/>
    <row r="9" spans="2:75" ht="7.05" customHeight="1" x14ac:dyDescent="0.3"/>
    <row r="10" spans="2:75" ht="7.05" customHeight="1" x14ac:dyDescent="0.3"/>
    <row r="11" spans="2:75" ht="7.05" customHeight="1" x14ac:dyDescent="0.3"/>
    <row r="12" spans="2:75" ht="7.05" customHeight="1" x14ac:dyDescent="0.3"/>
    <row r="13" spans="2:75" ht="7.05" customHeight="1" x14ac:dyDescent="0.3"/>
    <row r="14" spans="2:75" ht="7.05" customHeight="1" x14ac:dyDescent="0.3"/>
    <row r="15" spans="2:75" ht="7.05" customHeight="1" x14ac:dyDescent="0.3"/>
    <row r="16" spans="2:75" ht="7.05" customHeight="1" x14ac:dyDescent="0.3"/>
    <row r="17" ht="7.05" customHeight="1" x14ac:dyDescent="0.3"/>
    <row r="18" ht="7.05" customHeight="1" x14ac:dyDescent="0.3"/>
    <row r="19" ht="7.05" customHeight="1" x14ac:dyDescent="0.3"/>
    <row r="20" ht="7.05" customHeight="1" x14ac:dyDescent="0.3"/>
    <row r="21" ht="7.05" customHeight="1" x14ac:dyDescent="0.3"/>
    <row r="22" ht="7.05" customHeight="1" x14ac:dyDescent="0.3"/>
    <row r="23" ht="7.05" customHeight="1" x14ac:dyDescent="0.3"/>
    <row r="24" ht="7.05" customHeight="1" x14ac:dyDescent="0.3"/>
    <row r="25" ht="7.05" customHeight="1" x14ac:dyDescent="0.3"/>
    <row r="26" ht="7.05" customHeight="1" x14ac:dyDescent="0.3"/>
    <row r="27" ht="7.05" customHeight="1" x14ac:dyDescent="0.3"/>
    <row r="28" ht="7.05" customHeight="1" x14ac:dyDescent="0.3"/>
    <row r="29" ht="7.05" customHeight="1" x14ac:dyDescent="0.3"/>
    <row r="30" ht="7.05" customHeight="1" x14ac:dyDescent="0.3"/>
    <row r="31" ht="7.05" customHeight="1" x14ac:dyDescent="0.3"/>
    <row r="32" ht="7.05" customHeight="1" x14ac:dyDescent="0.3"/>
    <row r="33" ht="7.05" customHeight="1" x14ac:dyDescent="0.3"/>
    <row r="34" ht="7.05" customHeight="1" x14ac:dyDescent="0.3"/>
    <row r="35" ht="7.05" customHeight="1" x14ac:dyDescent="0.3"/>
    <row r="36" ht="7.05" customHeight="1" x14ac:dyDescent="0.3"/>
    <row r="37" ht="7.05" customHeight="1" x14ac:dyDescent="0.3"/>
    <row r="38" ht="7.05" customHeight="1" x14ac:dyDescent="0.3"/>
    <row r="39" ht="7.05" customHeight="1" x14ac:dyDescent="0.3"/>
    <row r="40" ht="7.05" customHeight="1" x14ac:dyDescent="0.3"/>
    <row r="41" ht="7.05" customHeight="1" x14ac:dyDescent="0.3"/>
    <row r="42" ht="7.05" customHeight="1" x14ac:dyDescent="0.3"/>
    <row r="43" ht="7.05" customHeight="1" x14ac:dyDescent="0.3"/>
    <row r="44" ht="7.05" customHeight="1" x14ac:dyDescent="0.3"/>
    <row r="45" ht="7.05" customHeight="1" x14ac:dyDescent="0.3"/>
    <row r="46" ht="7.05" customHeight="1" x14ac:dyDescent="0.3"/>
    <row r="47" ht="7.05" customHeight="1" x14ac:dyDescent="0.3"/>
    <row r="48" ht="7.05" customHeight="1" x14ac:dyDescent="0.3"/>
    <row r="49" ht="7.05" customHeight="1" x14ac:dyDescent="0.3"/>
    <row r="50" ht="7.05" customHeight="1" x14ac:dyDescent="0.3"/>
    <row r="51" ht="7.05" customHeight="1" x14ac:dyDescent="0.3"/>
    <row r="52" ht="7.05" customHeight="1" x14ac:dyDescent="0.3"/>
    <row r="53" ht="7.05" customHeight="1" x14ac:dyDescent="0.3"/>
    <row r="54" ht="7.05" customHeight="1" x14ac:dyDescent="0.3"/>
    <row r="55" ht="7.05" customHeight="1" x14ac:dyDescent="0.3"/>
    <row r="56" ht="7.05" customHeight="1" x14ac:dyDescent="0.3"/>
    <row r="57" ht="7.05" customHeight="1" x14ac:dyDescent="0.3"/>
    <row r="58" ht="7.05" customHeight="1" x14ac:dyDescent="0.3"/>
    <row r="59" ht="7.05" customHeight="1" x14ac:dyDescent="0.3"/>
    <row r="60" ht="7.05" customHeight="1" x14ac:dyDescent="0.3"/>
    <row r="61" ht="7.05" customHeight="1" x14ac:dyDescent="0.3"/>
    <row r="62" ht="7.05" customHeight="1" x14ac:dyDescent="0.3"/>
    <row r="63" ht="7.05" customHeight="1" x14ac:dyDescent="0.3"/>
    <row r="64" ht="7.05" customHeight="1" x14ac:dyDescent="0.3"/>
    <row r="65" ht="7.05" customHeight="1" x14ac:dyDescent="0.3"/>
    <row r="66" ht="7.05" customHeight="1" x14ac:dyDescent="0.3"/>
    <row r="67" ht="7.05" customHeight="1" x14ac:dyDescent="0.3"/>
    <row r="68" ht="7.05" customHeight="1" x14ac:dyDescent="0.3"/>
    <row r="69" ht="7.05" customHeight="1" x14ac:dyDescent="0.3"/>
    <row r="70" ht="7.05" customHeight="1" x14ac:dyDescent="0.3"/>
    <row r="71" ht="7.05" customHeight="1" x14ac:dyDescent="0.3"/>
    <row r="72" ht="7.05" customHeight="1" x14ac:dyDescent="0.3"/>
    <row r="73" ht="7.05" customHeight="1" x14ac:dyDescent="0.3"/>
    <row r="74" ht="7.05" customHeight="1" x14ac:dyDescent="0.3"/>
    <row r="75" ht="7.05" customHeight="1" x14ac:dyDescent="0.3"/>
    <row r="76" ht="7.05" customHeight="1" x14ac:dyDescent="0.3"/>
    <row r="77" ht="7.05" customHeight="1" x14ac:dyDescent="0.3"/>
    <row r="78" ht="7.05" customHeight="1" x14ac:dyDescent="0.3"/>
    <row r="79" ht="7.05" customHeight="1" x14ac:dyDescent="0.3"/>
    <row r="80" ht="7.05" customHeight="1" x14ac:dyDescent="0.3"/>
    <row r="81" ht="7.05" customHeight="1" x14ac:dyDescent="0.3"/>
    <row r="82" ht="7.05" customHeight="1" x14ac:dyDescent="0.3"/>
    <row r="83" ht="7.05" customHeight="1" x14ac:dyDescent="0.3"/>
    <row r="84" ht="7.05" customHeight="1" x14ac:dyDescent="0.3"/>
    <row r="85" ht="7.05" customHeight="1" x14ac:dyDescent="0.3"/>
    <row r="86" ht="7.05" customHeight="1" x14ac:dyDescent="0.3"/>
    <row r="87" ht="7.05" customHeight="1" x14ac:dyDescent="0.3"/>
    <row r="88" ht="7.05" customHeight="1" x14ac:dyDescent="0.3"/>
    <row r="89" ht="7.05" customHeight="1" x14ac:dyDescent="0.3"/>
    <row r="90" ht="7.05" customHeight="1" x14ac:dyDescent="0.3"/>
    <row r="91" ht="7.05" customHeight="1" x14ac:dyDescent="0.3"/>
    <row r="92" ht="7.05" customHeight="1" x14ac:dyDescent="0.3"/>
    <row r="93" ht="7.05" customHeight="1" x14ac:dyDescent="0.3"/>
    <row r="94" ht="7.05" customHeight="1" x14ac:dyDescent="0.3"/>
    <row r="95" ht="7.05" customHeight="1" x14ac:dyDescent="0.3"/>
    <row r="96" ht="7.05" customHeight="1" x14ac:dyDescent="0.3"/>
    <row r="97" ht="7.05" customHeight="1" x14ac:dyDescent="0.3"/>
    <row r="98" ht="7.05" customHeight="1" x14ac:dyDescent="0.3"/>
    <row r="99" ht="7.05" customHeight="1" x14ac:dyDescent="0.3"/>
    <row r="100" ht="7.05" customHeight="1" x14ac:dyDescent="0.3"/>
    <row r="101" ht="7.05" customHeight="1" x14ac:dyDescent="0.3"/>
    <row r="102" ht="7.05" customHeigh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24193-B449-487B-A26D-696838135B93}">
  <dimension ref="B1:BW102"/>
  <sheetViews>
    <sheetView showGridLines="0" workbookViewId="0"/>
  </sheetViews>
  <sheetFormatPr defaultRowHeight="14.4" x14ac:dyDescent="0.3"/>
  <cols>
    <col min="1" max="1" width="2.21875" customWidth="1"/>
    <col min="2" max="2" width="13" customWidth="1"/>
    <col min="3" max="3" width="16.6640625" customWidth="1"/>
    <col min="4" max="4" width="13" customWidth="1"/>
    <col min="5" max="5" width="2.21875" customWidth="1"/>
    <col min="6" max="6" width="13" customWidth="1"/>
    <col min="7" max="7" width="16.6640625" customWidth="1"/>
    <col min="8" max="8" width="13" customWidth="1"/>
    <col min="9" max="9" width="2.21875" customWidth="1"/>
    <col min="10" max="10" width="13" customWidth="1"/>
    <col min="11" max="11" width="16.6640625" customWidth="1"/>
    <col min="12" max="12" width="13" customWidth="1"/>
    <col min="13" max="13" width="2.21875" customWidth="1"/>
    <col min="14" max="14" width="13" customWidth="1"/>
    <col min="15" max="15" width="16.6640625" customWidth="1"/>
    <col min="16" max="16" width="13" customWidth="1"/>
    <col min="17" max="17" width="2.21875" customWidth="1"/>
    <col min="18" max="18" width="13" customWidth="1"/>
    <col min="19" max="19" width="16.6640625" customWidth="1"/>
    <col min="20" max="20" width="13" customWidth="1"/>
  </cols>
  <sheetData>
    <row r="1" spans="2:75" ht="25.8" x14ac:dyDescent="0.5">
      <c r="B1" s="1" t="s">
        <v>107</v>
      </c>
    </row>
    <row r="3" spans="2:75" ht="7.05" customHeight="1" x14ac:dyDescent="0.3">
      <c r="BD3" t="str">
        <f>IF(Import!A18="","",Import!A18)</f>
        <v>LIQUID</v>
      </c>
      <c r="BE3">
        <f>IF(Import!G18="","",Import!G18)</f>
        <v>0.27503667017146594</v>
      </c>
      <c r="BF3" t="str">
        <f>IF(Import!M18="","",Import!M18)</f>
        <v>242 bps</v>
      </c>
      <c r="BG3">
        <f>IF(Import!S18="","",Import!S18)</f>
        <v>0.39367264824068343</v>
      </c>
      <c r="BH3" t="str">
        <f>IF(Import!B18="","",Import!B18)</f>
        <v>SH CHAIN</v>
      </c>
      <c r="BI3">
        <f>IF(Import!H18="","",Import!H18)</f>
        <v>0.18085306158950454</v>
      </c>
      <c r="BJ3" t="str">
        <f>IF(Import!N18="","",Import!N18)</f>
        <v>-85 bps</v>
      </c>
      <c r="BK3">
        <f>IF(Import!T18="","",Import!T18)</f>
        <v>0.13971965442247553</v>
      </c>
      <c r="BL3" t="str">
        <f>IF(Import!C18="","",Import!C18)</f>
        <v>Tier1</v>
      </c>
      <c r="BM3">
        <f>IF(Import!I18="","",Import!I18)</f>
        <v>2.0837461689128309</v>
      </c>
      <c r="BN3" t="str">
        <f>IF(Import!O18="","",Import!O18)</f>
        <v>139 bps</v>
      </c>
      <c r="BO3">
        <f>IF(Import!U18="","",Import!U18)</f>
        <v>0.02</v>
      </c>
      <c r="BP3" t="str">
        <f>IF(Import!D18="","",Import!D18)</f>
        <v>GBKK</v>
      </c>
      <c r="BQ3">
        <f>IF(Import!J18="","",Import!J18)</f>
        <v>0.36269720300798713</v>
      </c>
      <c r="BR3" t="str">
        <f>IF(Import!P18="","",Import!P18)</f>
        <v>117 bps</v>
      </c>
      <c r="BS3">
        <f>IF(Import!V18="","",Import!V18)</f>
        <v>0.14497907312426961</v>
      </c>
      <c r="BT3" t="str">
        <f>IF(Import!E18="","",Import!E18)</f>
        <v>S</v>
      </c>
      <c r="BU3">
        <f>IF(Import!K18="","",Import!K18)</f>
        <v>-0.13511630418571652</v>
      </c>
      <c r="BV3" t="str">
        <f>IF(Import!Q18="","",Import!Q18)</f>
        <v>-59 bps</v>
      </c>
      <c r="BW3">
        <f>IF(Import!W18="","",Import!W18)</f>
        <v>1.3224553861181956E-2</v>
      </c>
    </row>
    <row r="4" spans="2:75" ht="7.05" customHeight="1" x14ac:dyDescent="0.3">
      <c r="BD4" t="str">
        <f>IF(Import!A19="","",Import!A19)</f>
        <v/>
      </c>
      <c r="BE4" t="str">
        <f>IF(Import!G19="","",Import!G19)</f>
        <v/>
      </c>
      <c r="BF4" t="str">
        <f>IF(Import!M19="","",Import!M19)</f>
        <v/>
      </c>
      <c r="BG4" t="str">
        <f>IF(Import!S19="","",Import!S19)</f>
        <v/>
      </c>
      <c r="BH4" t="str">
        <f>IF(Import!B19="","",Import!B19)</f>
        <v>SH Online</v>
      </c>
      <c r="BI4">
        <f>IF(Import!H19="","",Import!H19)</f>
        <v>0.40367161385450112</v>
      </c>
      <c r="BJ4" t="str">
        <f>IF(Import!N19="","",Import!N19)</f>
        <v>8 bps</v>
      </c>
      <c r="BK4">
        <f>IF(Import!T19="","",Import!T19)</f>
        <v>7.4350913634642678E-3</v>
      </c>
      <c r="BL4" t="str">
        <f>IF(Import!C19="","",Import!C19)</f>
        <v>Tier2</v>
      </c>
      <c r="BM4">
        <f>IF(Import!I19="","",Import!I19)</f>
        <v>-4.2798230190489783E-2</v>
      </c>
      <c r="BN4" t="str">
        <f>IF(Import!O19="","",Import!O19)</f>
        <v>-237 bps</v>
      </c>
      <c r="BO4">
        <f>IF(Import!U19="","",Import!U19)</f>
        <v>8.3092677787373795E-2</v>
      </c>
      <c r="BP4" t="str">
        <f>IF(Import!D19="","",Import!D19)</f>
        <v>CENTRAL</v>
      </c>
      <c r="BQ4">
        <f>IF(Import!J19="","",Import!J19)</f>
        <v>0.29591554750132287</v>
      </c>
      <c r="BR4" t="str">
        <f>IF(Import!P19="","",Import!P19)</f>
        <v>35 bps</v>
      </c>
      <c r="BS4">
        <f>IF(Import!V19="","",Import!V19)</f>
        <v>0.10499789376696243</v>
      </c>
      <c r="BT4" t="str">
        <f>IF(Import!E19="","",Import!E19)</f>
        <v>M</v>
      </c>
      <c r="BU4">
        <f>IF(Import!K19="","",Import!K19)</f>
        <v>-2.8308905153226149E-2</v>
      </c>
      <c r="BV4" t="str">
        <f>IF(Import!Q19="","",Import!Q19)</f>
        <v>-49 bps</v>
      </c>
      <c r="BW4">
        <f>IF(Import!W19="","",Import!W19)</f>
        <v>1.7087705772529597E-2</v>
      </c>
    </row>
    <row r="5" spans="2:75" ht="7.05" customHeight="1" x14ac:dyDescent="0.3">
      <c r="BD5" t="str">
        <f>IF(Import!A20="","",Import!A20)</f>
        <v/>
      </c>
      <c r="BE5" t="str">
        <f>IF(Import!G20="","",Import!G20)</f>
        <v/>
      </c>
      <c r="BF5" t="str">
        <f>IF(Import!M20="","",Import!M20)</f>
        <v/>
      </c>
      <c r="BG5" t="str">
        <f>IF(Import!S20="","",Import!S20)</f>
        <v/>
      </c>
      <c r="BH5" t="str">
        <f>IF(Import!B20="","",Import!B20)</f>
        <v>OT</v>
      </c>
      <c r="BI5">
        <f>IF(Import!H20="","",Import!H20)</f>
        <v>0.20656130563103625</v>
      </c>
      <c r="BJ5" t="str">
        <f>IF(Import!N20="","",Import!N20)</f>
        <v>-17 bps</v>
      </c>
      <c r="BK5">
        <f>IF(Import!T20="","",Import!T20)</f>
        <v>4.4699992833340106E-2</v>
      </c>
      <c r="BL5" t="str">
        <f>IF(Import!C20="","",Import!C20)</f>
        <v>Tier3</v>
      </c>
      <c r="BM5">
        <f>IF(Import!I20="","",Import!I20)</f>
        <v>0.3431469753120977</v>
      </c>
      <c r="BN5" t="str">
        <f>IF(Import!O20="","",Import!O20)</f>
        <v>231 bps</v>
      </c>
      <c r="BO5">
        <f>IF(Import!U20="","",Import!U20)</f>
        <v>0.28999999999999998</v>
      </c>
      <c r="BP5" t="str">
        <f>IF(Import!D20="","",Import!D20)</f>
        <v>NORTH</v>
      </c>
      <c r="BQ5">
        <f>IF(Import!J20="","",Import!J20)</f>
        <v>0.32767861945909438</v>
      </c>
      <c r="BR5" t="str">
        <f>IF(Import!P20="","",Import!P20)</f>
        <v>24 bps</v>
      </c>
      <c r="BS5">
        <f>IF(Import!V20="","",Import!V20)</f>
        <v>4.2425781252054984E-2</v>
      </c>
      <c r="BT5" t="str">
        <f>IF(Import!E20="","",Import!E20)</f>
        <v>L</v>
      </c>
      <c r="BU5">
        <f>IF(Import!K20="","",Import!K20)</f>
        <v>0.39360677023553059</v>
      </c>
      <c r="BV5" t="str">
        <f>IF(Import!Q20="","",Import!Q20)</f>
        <v>189 bps</v>
      </c>
      <c r="BW5">
        <f>IF(Import!W20="","",Import!W20)</f>
        <v>0.18701734373789958</v>
      </c>
    </row>
    <row r="6" spans="2:75" ht="7.05" customHeight="1" x14ac:dyDescent="0.3">
      <c r="BD6" t="str">
        <f>IF(Import!A21="","",Import!A21)</f>
        <v/>
      </c>
      <c r="BE6" t="str">
        <f>IF(Import!G21="","",Import!G21)</f>
        <v/>
      </c>
      <c r="BF6" t="str">
        <f>IF(Import!M21="","",Import!M21)</f>
        <v/>
      </c>
      <c r="BG6" t="str">
        <f>IF(Import!S21="","",Import!S21)</f>
        <v/>
      </c>
      <c r="BH6" t="str">
        <f>IF(Import!B21="","",Import!B21)</f>
        <v>LMT</v>
      </c>
      <c r="BI6">
        <f>IF(Import!H21="","",Import!H21)</f>
        <v>0.36059292133067333</v>
      </c>
      <c r="BJ6" t="str">
        <f>IF(Import!N21="","",Import!N21)</f>
        <v>71 bps</v>
      </c>
      <c r="BK6">
        <f>IF(Import!T21="","",Import!T21)</f>
        <v>8.9555564080933986E-2</v>
      </c>
      <c r="BL6" t="str">
        <f>IF(Import!C21="","",Import!C21)</f>
        <v>Tier4</v>
      </c>
      <c r="BM6">
        <f>IF(Import!I21="","",Import!I21)</f>
        <v>-1</v>
      </c>
      <c r="BN6" t="str">
        <f>IF(Import!O21="","",Import!O21)</f>
        <v>0 bps</v>
      </c>
      <c r="BO6">
        <f>IF(Import!U21="","",Import!U21)</f>
        <v>0</v>
      </c>
      <c r="BP6" t="str">
        <f>IF(Import!D21="","",Import!D21)</f>
        <v>NORTHEAST</v>
      </c>
      <c r="BQ6">
        <f>IF(Import!J21="","",Import!J21)</f>
        <v>0.33287925769559501</v>
      </c>
      <c r="BR6" t="str">
        <f>IF(Import!P21="","",Import!P21)</f>
        <v>40 bps</v>
      </c>
      <c r="BS6">
        <f>IF(Import!V21="","",Import!V21)</f>
        <v>6.5997762105723501E-2</v>
      </c>
      <c r="BT6" t="str">
        <f>IF(Import!E21="","",Import!E21)</f>
        <v>XL</v>
      </c>
      <c r="BU6">
        <f>IF(Import!K21="","",Import!K21)</f>
        <v>0.38031716620723754</v>
      </c>
      <c r="BV6" t="str">
        <f>IF(Import!Q21="","",Import!Q21)</f>
        <v>162 bps</v>
      </c>
      <c r="BW6">
        <f>IF(Import!W21="","",Import!W21)</f>
        <v>0.17578255184245589</v>
      </c>
    </row>
    <row r="7" spans="2:75" ht="7.05" customHeight="1" x14ac:dyDescent="0.3">
      <c r="BD7" t="str">
        <f>IF(Import!A22="","",Import!A22)</f>
        <v/>
      </c>
      <c r="BE7" t="str">
        <f>IF(Import!G22="","",Import!G22)</f>
        <v/>
      </c>
      <c r="BF7" t="str">
        <f>IF(Import!M22="","",Import!M22)</f>
        <v/>
      </c>
      <c r="BG7" t="str">
        <f>IF(Import!S22="","",Import!S22)</f>
        <v/>
      </c>
      <c r="BH7" t="str">
        <f>IF(Import!B22="","",Import!B22)</f>
        <v>CVS</v>
      </c>
      <c r="BI7">
        <f>IF(Import!H22="","",Import!H22)</f>
        <v>0.64194711525190784</v>
      </c>
      <c r="BJ7" t="str">
        <f>IF(Import!N22="","",Import!N22)</f>
        <v>266 bps</v>
      </c>
      <c r="BK7">
        <f>IF(Import!T22="","",Import!T22)</f>
        <v>0.11226234632683076</v>
      </c>
      <c r="BL7" t="str">
        <f>IF(Import!C22="","",Import!C22)</f>
        <v/>
      </c>
      <c r="BM7" t="str">
        <f>IF(Import!I22="","",Import!I22)</f>
        <v/>
      </c>
      <c r="BN7" t="str">
        <f>IF(Import!O22="","",Import!O22)</f>
        <v/>
      </c>
      <c r="BO7" t="str">
        <f>IF(Import!U22="","",Import!U22)</f>
        <v/>
      </c>
      <c r="BP7" t="str">
        <f>IF(Import!D22="","",Import!D22)</f>
        <v>SOUTH</v>
      </c>
      <c r="BQ7">
        <f>IF(Import!J22="","",Import!J22)</f>
        <v>0.35796565280915393</v>
      </c>
      <c r="BR7" t="str">
        <f>IF(Import!P22="","",Import!P22)</f>
        <v>27 bps</v>
      </c>
      <c r="BS7">
        <f>IF(Import!V22="","",Import!V22)</f>
        <v>3.5272137991672906E-2</v>
      </c>
      <c r="BT7" t="str">
        <f>IF(Import!E22="","",Import!E22)</f>
        <v>XXL</v>
      </c>
      <c r="BU7">
        <f>IF(Import!K22="","",Import!K22)</f>
        <v>0.28669916057405875</v>
      </c>
      <c r="BV7" t="str">
        <f>IF(Import!Q22="","",Import!Q22)</f>
        <v>0 bps</v>
      </c>
      <c r="BW7">
        <f>IF(Import!W22="","",Import!W22)</f>
        <v>5.6049230796697744E-4</v>
      </c>
    </row>
    <row r="8" spans="2:75" ht="7.05" customHeight="1" x14ac:dyDescent="0.3"/>
    <row r="9" spans="2:75" ht="7.05" customHeight="1" x14ac:dyDescent="0.3"/>
    <row r="10" spans="2:75" ht="7.05" customHeight="1" x14ac:dyDescent="0.3"/>
    <row r="11" spans="2:75" ht="7.05" customHeight="1" x14ac:dyDescent="0.3"/>
    <row r="12" spans="2:75" ht="7.05" customHeight="1" x14ac:dyDescent="0.3"/>
    <row r="13" spans="2:75" ht="7.05" customHeight="1" x14ac:dyDescent="0.3"/>
    <row r="14" spans="2:75" ht="7.05" customHeight="1" x14ac:dyDescent="0.3"/>
    <row r="15" spans="2:75" ht="7.05" customHeight="1" x14ac:dyDescent="0.3"/>
    <row r="16" spans="2:75" ht="7.05" customHeight="1" x14ac:dyDescent="0.3"/>
    <row r="17" ht="7.05" customHeight="1" x14ac:dyDescent="0.3"/>
    <row r="18" ht="7.05" customHeight="1" x14ac:dyDescent="0.3"/>
    <row r="19" ht="7.05" customHeight="1" x14ac:dyDescent="0.3"/>
    <row r="20" ht="7.05" customHeight="1" x14ac:dyDescent="0.3"/>
    <row r="21" ht="7.05" customHeight="1" x14ac:dyDescent="0.3"/>
    <row r="22" ht="7.05" customHeight="1" x14ac:dyDescent="0.3"/>
    <row r="23" ht="7.05" customHeight="1" x14ac:dyDescent="0.3"/>
    <row r="24" ht="7.05" customHeight="1" x14ac:dyDescent="0.3"/>
    <row r="25" ht="7.05" customHeight="1" x14ac:dyDescent="0.3"/>
    <row r="26" ht="7.05" customHeight="1" x14ac:dyDescent="0.3"/>
    <row r="27" ht="7.05" customHeight="1" x14ac:dyDescent="0.3"/>
    <row r="28" ht="7.05" customHeight="1" x14ac:dyDescent="0.3"/>
    <row r="29" ht="7.05" customHeight="1" x14ac:dyDescent="0.3"/>
    <row r="30" ht="7.05" customHeight="1" x14ac:dyDescent="0.3"/>
    <row r="31" ht="7.05" customHeight="1" x14ac:dyDescent="0.3"/>
    <row r="32" ht="7.05" customHeight="1" x14ac:dyDescent="0.3"/>
    <row r="33" ht="7.05" customHeight="1" x14ac:dyDescent="0.3"/>
    <row r="34" ht="7.05" customHeight="1" x14ac:dyDescent="0.3"/>
    <row r="35" ht="7.05" customHeight="1" x14ac:dyDescent="0.3"/>
    <row r="36" ht="7.05" customHeight="1" x14ac:dyDescent="0.3"/>
    <row r="37" ht="7.05" customHeight="1" x14ac:dyDescent="0.3"/>
    <row r="38" ht="7.05" customHeight="1" x14ac:dyDescent="0.3"/>
    <row r="39" ht="7.05" customHeight="1" x14ac:dyDescent="0.3"/>
    <row r="40" ht="7.05" customHeight="1" x14ac:dyDescent="0.3"/>
    <row r="41" ht="7.05" customHeight="1" x14ac:dyDescent="0.3"/>
    <row r="42" ht="7.05" customHeight="1" x14ac:dyDescent="0.3"/>
    <row r="43" ht="7.05" customHeight="1" x14ac:dyDescent="0.3"/>
    <row r="44" ht="7.05" customHeight="1" x14ac:dyDescent="0.3"/>
    <row r="45" ht="7.05" customHeight="1" x14ac:dyDescent="0.3"/>
    <row r="46" ht="7.05" customHeight="1" x14ac:dyDescent="0.3"/>
    <row r="47" ht="7.05" customHeight="1" x14ac:dyDescent="0.3"/>
    <row r="48" ht="7.05" customHeight="1" x14ac:dyDescent="0.3"/>
    <row r="49" ht="7.05" customHeight="1" x14ac:dyDescent="0.3"/>
    <row r="50" ht="7.05" customHeight="1" x14ac:dyDescent="0.3"/>
    <row r="51" ht="7.05" customHeight="1" x14ac:dyDescent="0.3"/>
    <row r="52" ht="7.05" customHeight="1" x14ac:dyDescent="0.3"/>
    <row r="53" ht="7.05" customHeight="1" x14ac:dyDescent="0.3"/>
    <row r="54" ht="7.05" customHeight="1" x14ac:dyDescent="0.3"/>
    <row r="55" ht="7.05" customHeight="1" x14ac:dyDescent="0.3"/>
    <row r="56" ht="7.05" customHeight="1" x14ac:dyDescent="0.3"/>
    <row r="57" ht="7.05" customHeight="1" x14ac:dyDescent="0.3"/>
    <row r="58" ht="7.05" customHeight="1" x14ac:dyDescent="0.3"/>
    <row r="59" ht="7.05" customHeight="1" x14ac:dyDescent="0.3"/>
    <row r="60" ht="7.05" customHeight="1" x14ac:dyDescent="0.3"/>
    <row r="61" ht="7.05" customHeight="1" x14ac:dyDescent="0.3"/>
    <row r="62" ht="7.05" customHeight="1" x14ac:dyDescent="0.3"/>
    <row r="63" ht="7.05" customHeight="1" x14ac:dyDescent="0.3"/>
    <row r="64" ht="7.05" customHeight="1" x14ac:dyDescent="0.3"/>
    <row r="65" ht="7.05" customHeight="1" x14ac:dyDescent="0.3"/>
    <row r="66" ht="7.05" customHeight="1" x14ac:dyDescent="0.3"/>
    <row r="67" ht="7.05" customHeight="1" x14ac:dyDescent="0.3"/>
    <row r="68" ht="7.05" customHeight="1" x14ac:dyDescent="0.3"/>
    <row r="69" ht="7.05" customHeight="1" x14ac:dyDescent="0.3"/>
    <row r="70" ht="7.05" customHeight="1" x14ac:dyDescent="0.3"/>
    <row r="71" ht="7.05" customHeight="1" x14ac:dyDescent="0.3"/>
    <row r="72" ht="7.05" customHeight="1" x14ac:dyDescent="0.3"/>
    <row r="73" ht="7.05" customHeight="1" x14ac:dyDescent="0.3"/>
    <row r="74" ht="7.05" customHeight="1" x14ac:dyDescent="0.3"/>
    <row r="75" ht="7.05" customHeight="1" x14ac:dyDescent="0.3"/>
    <row r="76" ht="7.05" customHeight="1" x14ac:dyDescent="0.3"/>
    <row r="77" ht="7.05" customHeight="1" x14ac:dyDescent="0.3"/>
    <row r="78" ht="7.05" customHeight="1" x14ac:dyDescent="0.3"/>
    <row r="79" ht="7.05" customHeight="1" x14ac:dyDescent="0.3"/>
    <row r="80" ht="7.05" customHeight="1" x14ac:dyDescent="0.3"/>
    <row r="81" ht="7.05" customHeight="1" x14ac:dyDescent="0.3"/>
    <row r="82" ht="7.05" customHeight="1" x14ac:dyDescent="0.3"/>
    <row r="83" ht="7.05" customHeight="1" x14ac:dyDescent="0.3"/>
    <row r="84" ht="7.05" customHeight="1" x14ac:dyDescent="0.3"/>
    <row r="85" ht="7.05" customHeight="1" x14ac:dyDescent="0.3"/>
    <row r="86" ht="7.05" customHeight="1" x14ac:dyDescent="0.3"/>
    <row r="87" ht="7.05" customHeight="1" x14ac:dyDescent="0.3"/>
    <row r="88" ht="7.05" customHeight="1" x14ac:dyDescent="0.3"/>
    <row r="89" ht="7.05" customHeight="1" x14ac:dyDescent="0.3"/>
    <row r="90" ht="7.05" customHeight="1" x14ac:dyDescent="0.3"/>
    <row r="91" ht="7.05" customHeight="1" x14ac:dyDescent="0.3"/>
    <row r="92" ht="7.05" customHeight="1" x14ac:dyDescent="0.3"/>
    <row r="93" ht="7.05" customHeight="1" x14ac:dyDescent="0.3"/>
    <row r="94" ht="7.05" customHeight="1" x14ac:dyDescent="0.3"/>
    <row r="95" ht="7.05" customHeight="1" x14ac:dyDescent="0.3"/>
    <row r="96" ht="7.05" customHeight="1" x14ac:dyDescent="0.3"/>
    <row r="97" ht="7.05" customHeight="1" x14ac:dyDescent="0.3"/>
    <row r="98" ht="7.05" customHeight="1" x14ac:dyDescent="0.3"/>
    <row r="99" ht="7.05" customHeight="1" x14ac:dyDescent="0.3"/>
    <row r="100" ht="7.05" customHeight="1" x14ac:dyDescent="0.3"/>
    <row r="101" ht="7.05" customHeight="1" x14ac:dyDescent="0.3"/>
    <row r="102" ht="7.05" customHeight="1" x14ac:dyDescent="0.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08C51-FD4F-47E5-876F-8B71A1328F1C}">
  <dimension ref="B1:BW102"/>
  <sheetViews>
    <sheetView showGridLines="0" workbookViewId="0"/>
  </sheetViews>
  <sheetFormatPr defaultRowHeight="14.4" x14ac:dyDescent="0.3"/>
  <cols>
    <col min="1" max="1" width="2.21875" customWidth="1"/>
    <col min="2" max="2" width="13" customWidth="1"/>
    <col min="3" max="3" width="16.6640625" customWidth="1"/>
    <col min="4" max="4" width="13" customWidth="1"/>
    <col min="5" max="5" width="2.21875" customWidth="1"/>
    <col min="6" max="6" width="13" customWidth="1"/>
    <col min="7" max="7" width="16.6640625" customWidth="1"/>
    <col min="8" max="8" width="13" customWidth="1"/>
    <col min="9" max="9" width="2.21875" customWidth="1"/>
    <col min="10" max="10" width="13" customWidth="1"/>
    <col min="11" max="11" width="16.6640625" customWidth="1"/>
    <col min="12" max="12" width="13" customWidth="1"/>
    <col min="13" max="13" width="2.21875" customWidth="1"/>
    <col min="14" max="14" width="13" customWidth="1"/>
    <col min="15" max="15" width="16.6640625" customWidth="1"/>
    <col min="16" max="16" width="13" customWidth="1"/>
    <col min="17" max="17" width="2.21875" customWidth="1"/>
    <col min="18" max="18" width="13" customWidth="1"/>
    <col min="19" max="19" width="16.6640625" customWidth="1"/>
    <col min="20" max="20" width="13" customWidth="1"/>
  </cols>
  <sheetData>
    <row r="1" spans="2:75" ht="25.8" x14ac:dyDescent="0.5">
      <c r="B1" s="1" t="s">
        <v>108</v>
      </c>
    </row>
    <row r="3" spans="2:75" ht="7.05" customHeight="1" x14ac:dyDescent="0.3">
      <c r="BD3" t="str">
        <f>IF(Import!A25="","",Import!A25)</f>
        <v>POWDER</v>
      </c>
      <c r="BE3">
        <f>IF(Import!G25="","",Import!G25)</f>
        <v>-3.376956812844345E-2</v>
      </c>
      <c r="BF3" t="str">
        <f>IF(Import!M25="","",Import!M25)</f>
        <v>-44 bps</v>
      </c>
      <c r="BG3">
        <f>IF(Import!S25="","",Import!S25)</f>
        <v>0.51787842033710652</v>
      </c>
      <c r="BH3" t="str">
        <f>IF(Import!B25="","",Import!B25)</f>
        <v>SH CHAIN</v>
      </c>
      <c r="BI3">
        <f>IF(Import!H25="","",Import!H25)</f>
        <v>-0.14699332688635791</v>
      </c>
      <c r="BJ3" t="str">
        <f>IF(Import!N25="","",Import!N25)</f>
        <v>-164 bps</v>
      </c>
      <c r="BK3">
        <f>IF(Import!T25="","",Import!T25)</f>
        <v>0.11520073891218853</v>
      </c>
      <c r="BL3" t="str">
        <f>IF(Import!C25="","",Import!C25)</f>
        <v>Tier1</v>
      </c>
      <c r="BM3">
        <f>IF(Import!I25="","",Import!I25)</f>
        <v>-7.5615860182877359E-2</v>
      </c>
      <c r="BN3" t="str">
        <f>IF(Import!O25="","",Import!O25)</f>
        <v>-121 bps</v>
      </c>
      <c r="BO3">
        <f>IF(Import!U25="","",Import!U25)</f>
        <v>0.22257891835709895</v>
      </c>
      <c r="BP3" t="str">
        <f>IF(Import!D25="","",Import!D25)</f>
        <v>GBKK</v>
      </c>
      <c r="BQ3">
        <f>IF(Import!J25="","",Import!J25)</f>
        <v>-6.4430566146818857E-2</v>
      </c>
      <c r="BR3" t="str">
        <f>IF(Import!P25="","",Import!P25)</f>
        <v>-45 bps</v>
      </c>
      <c r="BS3">
        <f>IF(Import!V25="","",Import!V25)</f>
        <v>0.10756976380187398</v>
      </c>
      <c r="BT3" t="str">
        <f>IF(Import!E25="","",Import!E25)</f>
        <v>S</v>
      </c>
      <c r="BU3">
        <f>IF(Import!K25="","",Import!K25)</f>
        <v>-0.19016238862053403</v>
      </c>
      <c r="BV3" t="str">
        <f>IF(Import!Q25="","",Import!Q25)</f>
        <v>-87 bps</v>
      </c>
      <c r="BW3">
        <f>IF(Import!W25="","",Import!W25)</f>
        <v>4.2699994816435979E-2</v>
      </c>
    </row>
    <row r="4" spans="2:75" ht="7.05" customHeight="1" x14ac:dyDescent="0.3">
      <c r="BD4" t="str">
        <f>IF(Import!A26="","",Import!A26)</f>
        <v/>
      </c>
      <c r="BE4" t="str">
        <f>IF(Import!G26="","",Import!G26)</f>
        <v/>
      </c>
      <c r="BF4" t="str">
        <f>IF(Import!M26="","",Import!M26)</f>
        <v/>
      </c>
      <c r="BG4" t="str">
        <f>IF(Import!S26="","",Import!S26)</f>
        <v/>
      </c>
      <c r="BH4" t="str">
        <f>IF(Import!B26="","",Import!B26)</f>
        <v>SH Online</v>
      </c>
      <c r="BI4">
        <f>IF(Import!H26="","",Import!H26)</f>
        <v>0.23859021475939346</v>
      </c>
      <c r="BJ4" t="str">
        <f>IF(Import!N26="","",Import!N26)</f>
        <v>14 bps</v>
      </c>
      <c r="BK4">
        <f>IF(Import!T26="","",Import!T26)</f>
        <v>6.3699980201099779E-3</v>
      </c>
      <c r="BL4" t="str">
        <f>IF(Import!C26="","",Import!C26)</f>
        <v>Tier2</v>
      </c>
      <c r="BM4">
        <f>IF(Import!I26="","",Import!I26)</f>
        <v>-0.15523999442247183</v>
      </c>
      <c r="BN4" t="str">
        <f>IF(Import!O26="","",Import!O26)</f>
        <v>-68 bps</v>
      </c>
      <c r="BO4">
        <f>IF(Import!U26="","",Import!U26)</f>
        <v>4.4540325584372022E-2</v>
      </c>
      <c r="BP4" t="str">
        <f>IF(Import!D26="","",Import!D26)</f>
        <v>CENTRAL</v>
      </c>
      <c r="BQ4">
        <f>IF(Import!J26="","",Import!J26)</f>
        <v>2.3838855133016867E-2</v>
      </c>
      <c r="BR4" t="str">
        <f>IF(Import!P26="","",Import!P26)</f>
        <v>64 bps</v>
      </c>
      <c r="BS4">
        <f>IF(Import!V26="","",Import!V26)</f>
        <v>0.13346583677993312</v>
      </c>
      <c r="BT4" t="str">
        <f>IF(Import!E26="","",Import!E26)</f>
        <v>M</v>
      </c>
      <c r="BU4">
        <f>IF(Import!K26="","",Import!K26)</f>
        <v>-0.13455768112516742</v>
      </c>
      <c r="BV4" t="str">
        <f>IF(Import!Q26="","",Import!Q26)</f>
        <v>-109 bps</v>
      </c>
      <c r="BW4">
        <f>IF(Import!W26="","",Import!W26)</f>
        <v>8.6627067749236286E-2</v>
      </c>
    </row>
    <row r="5" spans="2:75" ht="7.05" customHeight="1" x14ac:dyDescent="0.3">
      <c r="BD5" t="str">
        <f>IF(Import!A27="","",Import!A27)</f>
        <v/>
      </c>
      <c r="BE5" t="str">
        <f>IF(Import!G27="","",Import!G27)</f>
        <v/>
      </c>
      <c r="BF5" t="str">
        <f>IF(Import!M27="","",Import!M27)</f>
        <v/>
      </c>
      <c r="BG5" t="str">
        <f>IF(Import!S27="","",Import!S27)</f>
        <v/>
      </c>
      <c r="BH5" t="str">
        <f>IF(Import!B27="","",Import!B27)</f>
        <v>OT</v>
      </c>
      <c r="BI5">
        <f>IF(Import!H27="","",Import!H27)</f>
        <v>2.9339501287580561E-2</v>
      </c>
      <c r="BJ5" t="str">
        <f>IF(Import!N27="","",Import!N27)</f>
        <v>111 bps</v>
      </c>
      <c r="BK5">
        <f>IF(Import!T27="","",Import!T27)</f>
        <v>0.20885832166426727</v>
      </c>
      <c r="BL5" t="str">
        <f>IF(Import!C27="","",Import!C27)</f>
        <v>Tier3</v>
      </c>
      <c r="BM5">
        <f>IF(Import!I27="","",Import!I27)</f>
        <v>1.304943980743567E-2</v>
      </c>
      <c r="BN5" t="str">
        <f>IF(Import!O27="","",Import!O27)</f>
        <v>92 bps</v>
      </c>
      <c r="BO5">
        <f>IF(Import!U27="","",Import!U27)</f>
        <v>0.24245090844277548</v>
      </c>
      <c r="BP5" t="str">
        <f>IF(Import!D27="","",Import!D27)</f>
        <v>NORTH</v>
      </c>
      <c r="BQ5">
        <f>IF(Import!J27="","",Import!J27)</f>
        <v>1.9611600339884072E-2</v>
      </c>
      <c r="BR5" t="str">
        <f>IF(Import!P27="","",Import!P27)</f>
        <v>35 bps</v>
      </c>
      <c r="BS5">
        <f>IF(Import!V27="","",Import!V27)</f>
        <v>8.0127091740064396E-2</v>
      </c>
      <c r="BT5" t="str">
        <f>IF(Import!E27="","",Import!E27)</f>
        <v>L</v>
      </c>
      <c r="BU5">
        <f>IF(Import!K27="","",Import!K27)</f>
        <v>-2.317594936815881E-2</v>
      </c>
      <c r="BV5" t="str">
        <f>IF(Import!Q27="","",Import!Q27)</f>
        <v>4 bps</v>
      </c>
      <c r="BW5">
        <f>IF(Import!W27="","",Import!W27)</f>
        <v>0.14853500459380189</v>
      </c>
    </row>
    <row r="6" spans="2:75" ht="7.05" customHeight="1" x14ac:dyDescent="0.3">
      <c r="BD6" t="str">
        <f>IF(Import!A28="","",Import!A28)</f>
        <v/>
      </c>
      <c r="BE6" t="str">
        <f>IF(Import!G28="","",Import!G28)</f>
        <v/>
      </c>
      <c r="BF6" t="str">
        <f>IF(Import!M28="","",Import!M28)</f>
        <v/>
      </c>
      <c r="BG6" t="str">
        <f>IF(Import!S28="","",Import!S28)</f>
        <v/>
      </c>
      <c r="BH6" t="str">
        <f>IF(Import!B28="","",Import!B28)</f>
        <v>LMT</v>
      </c>
      <c r="BI6">
        <f>IF(Import!H28="","",Import!H28)</f>
        <v>0.14650286850941185</v>
      </c>
      <c r="BJ6" t="str">
        <f>IF(Import!N28="","",Import!N28)</f>
        <v>172 bps</v>
      </c>
      <c r="BK6">
        <f>IF(Import!T28="","",Import!T28)</f>
        <v>0.11460796118970235</v>
      </c>
      <c r="BL6" t="str">
        <f>IF(Import!C28="","",Import!C28)</f>
        <v>Tier4</v>
      </c>
      <c r="BM6">
        <f>IF(Import!I28="","",Import!I28)</f>
        <v>1.6469854965335609</v>
      </c>
      <c r="BN6" t="str">
        <f>IF(Import!O28="","",Import!O28)</f>
        <v>52 bps</v>
      </c>
      <c r="BO6">
        <f>IF(Import!U28="","",Import!U28)</f>
        <v>8.3082679876881563E-3</v>
      </c>
      <c r="BP6" t="str">
        <f>IF(Import!D28="","",Import!D28)</f>
        <v>NORTHEAST</v>
      </c>
      <c r="BQ6">
        <f>IF(Import!J28="","",Import!J28)</f>
        <v>-6.7040066966162604E-2</v>
      </c>
      <c r="BR6" t="str">
        <f>IF(Import!P28="","",Import!P28)</f>
        <v>-65 bps</v>
      </c>
      <c r="BS6">
        <f>IF(Import!V28="","",Import!V28)</f>
        <v>0.1459038501357523</v>
      </c>
      <c r="BT6" t="str">
        <f>IF(Import!E28="","",Import!E28)</f>
        <v>XL</v>
      </c>
      <c r="BU6">
        <f>IF(Import!K28="","",Import!K28)</f>
        <v>8.0635720095346253E-2</v>
      </c>
      <c r="BV6" t="str">
        <f>IF(Import!Q28="","",Import!Q28)</f>
        <v>195 bps</v>
      </c>
      <c r="BW6">
        <f>IF(Import!W28="","",Import!W28)</f>
        <v>0.19869051570271098</v>
      </c>
    </row>
    <row r="7" spans="2:75" ht="7.05" customHeight="1" x14ac:dyDescent="0.3">
      <c r="BD7" t="str">
        <f>IF(Import!A29="","",Import!A29)</f>
        <v/>
      </c>
      <c r="BE7" t="str">
        <f>IF(Import!G29="","",Import!G29)</f>
        <v/>
      </c>
      <c r="BF7" t="str">
        <f>IF(Import!M29="","",Import!M29)</f>
        <v/>
      </c>
      <c r="BG7" t="str">
        <f>IF(Import!S29="","",Import!S29)</f>
        <v/>
      </c>
      <c r="BH7" t="str">
        <f>IF(Import!B29="","",Import!B29)</f>
        <v>CVS</v>
      </c>
      <c r="BI7">
        <f>IF(Import!H29="","",Import!H29)</f>
        <v>-0.21600318941341856</v>
      </c>
      <c r="BJ7" t="str">
        <f>IF(Import!N29="","",Import!N29)</f>
        <v>-177 bps</v>
      </c>
      <c r="BK7">
        <f>IF(Import!T29="","",Import!T29)</f>
        <v>7.2841400550838376E-2</v>
      </c>
      <c r="BL7" t="str">
        <f>IF(Import!C29="","",Import!C29)</f>
        <v/>
      </c>
      <c r="BM7" t="str">
        <f>IF(Import!I29="","",Import!I29)</f>
        <v/>
      </c>
      <c r="BN7" t="str">
        <f>IF(Import!O29="","",Import!O29)</f>
        <v/>
      </c>
      <c r="BO7" t="str">
        <f>IF(Import!U29="","",Import!U29)</f>
        <v/>
      </c>
      <c r="BP7" t="str">
        <f>IF(Import!D29="","",Import!D29)</f>
        <v>SOUTH</v>
      </c>
      <c r="BQ7">
        <f>IF(Import!J29="","",Import!J29)</f>
        <v>-8.72345819450695E-2</v>
      </c>
      <c r="BR7" t="str">
        <f>IF(Import!P29="","",Import!P29)</f>
        <v>-34 bps</v>
      </c>
      <c r="BS7">
        <f>IF(Import!V29="","",Import!V29)</f>
        <v>5.0811877879482686E-2</v>
      </c>
      <c r="BT7" t="str">
        <f>IF(Import!E29="","",Import!E29)</f>
        <v>XXL</v>
      </c>
      <c r="BU7">
        <f>IF(Import!K29="","",Import!K29)</f>
        <v>-0.12505055230617834</v>
      </c>
      <c r="BV7" t="str">
        <f>IF(Import!Q29="","",Import!Q29)</f>
        <v>-47 bps</v>
      </c>
      <c r="BW7">
        <f>IF(Import!W29="","",Import!W29)</f>
        <v>4.1325837040151088E-2</v>
      </c>
    </row>
    <row r="8" spans="2:75" ht="7.05" customHeight="1" x14ac:dyDescent="0.3"/>
    <row r="9" spans="2:75" ht="7.05" customHeight="1" x14ac:dyDescent="0.3"/>
    <row r="10" spans="2:75" ht="7.05" customHeight="1" x14ac:dyDescent="0.3"/>
    <row r="11" spans="2:75" ht="7.05" customHeight="1" x14ac:dyDescent="0.3"/>
    <row r="12" spans="2:75" ht="7.05" customHeight="1" x14ac:dyDescent="0.3"/>
    <row r="13" spans="2:75" ht="7.05" customHeight="1" x14ac:dyDescent="0.3"/>
    <row r="14" spans="2:75" ht="7.05" customHeight="1" x14ac:dyDescent="0.3"/>
    <row r="15" spans="2:75" ht="7.05" customHeight="1" x14ac:dyDescent="0.3"/>
    <row r="16" spans="2:75" ht="7.05" customHeight="1" x14ac:dyDescent="0.3"/>
    <row r="17" ht="7.05" customHeight="1" x14ac:dyDescent="0.3"/>
    <row r="18" ht="7.05" customHeight="1" x14ac:dyDescent="0.3"/>
    <row r="19" ht="7.05" customHeight="1" x14ac:dyDescent="0.3"/>
    <row r="20" ht="7.05" customHeight="1" x14ac:dyDescent="0.3"/>
    <row r="21" ht="7.05" customHeight="1" x14ac:dyDescent="0.3"/>
    <row r="22" ht="7.05" customHeight="1" x14ac:dyDescent="0.3"/>
    <row r="23" ht="7.05" customHeight="1" x14ac:dyDescent="0.3"/>
    <row r="24" ht="7.05" customHeight="1" x14ac:dyDescent="0.3"/>
    <row r="25" ht="7.05" customHeight="1" x14ac:dyDescent="0.3"/>
    <row r="26" ht="7.05" customHeight="1" x14ac:dyDescent="0.3"/>
    <row r="27" ht="7.05" customHeight="1" x14ac:dyDescent="0.3"/>
    <row r="28" ht="7.05" customHeight="1" x14ac:dyDescent="0.3"/>
    <row r="29" ht="7.05" customHeight="1" x14ac:dyDescent="0.3"/>
    <row r="30" ht="7.05" customHeight="1" x14ac:dyDescent="0.3"/>
    <row r="31" ht="7.05" customHeight="1" x14ac:dyDescent="0.3"/>
    <row r="32" ht="7.05" customHeight="1" x14ac:dyDescent="0.3"/>
    <row r="33" ht="7.05" customHeight="1" x14ac:dyDescent="0.3"/>
    <row r="34" ht="7.05" customHeight="1" x14ac:dyDescent="0.3"/>
    <row r="35" ht="7.05" customHeight="1" x14ac:dyDescent="0.3"/>
    <row r="36" ht="7.05" customHeight="1" x14ac:dyDescent="0.3"/>
    <row r="37" ht="7.05" customHeight="1" x14ac:dyDescent="0.3"/>
    <row r="38" ht="7.05" customHeight="1" x14ac:dyDescent="0.3"/>
    <row r="39" ht="7.05" customHeight="1" x14ac:dyDescent="0.3"/>
    <row r="40" ht="7.05" customHeight="1" x14ac:dyDescent="0.3"/>
    <row r="41" ht="7.05" customHeight="1" x14ac:dyDescent="0.3"/>
    <row r="42" ht="7.05" customHeight="1" x14ac:dyDescent="0.3"/>
    <row r="43" ht="7.05" customHeight="1" x14ac:dyDescent="0.3"/>
    <row r="44" ht="7.05" customHeight="1" x14ac:dyDescent="0.3"/>
    <row r="45" ht="7.05" customHeight="1" x14ac:dyDescent="0.3"/>
    <row r="46" ht="7.05" customHeight="1" x14ac:dyDescent="0.3"/>
    <row r="47" ht="7.05" customHeight="1" x14ac:dyDescent="0.3"/>
    <row r="48" ht="7.05" customHeight="1" x14ac:dyDescent="0.3"/>
    <row r="49" ht="7.05" customHeight="1" x14ac:dyDescent="0.3"/>
    <row r="50" ht="7.05" customHeight="1" x14ac:dyDescent="0.3"/>
    <row r="51" ht="7.05" customHeight="1" x14ac:dyDescent="0.3"/>
    <row r="52" ht="7.05" customHeight="1" x14ac:dyDescent="0.3"/>
    <row r="53" ht="7.05" customHeight="1" x14ac:dyDescent="0.3"/>
    <row r="54" ht="7.05" customHeight="1" x14ac:dyDescent="0.3"/>
    <row r="55" ht="7.05" customHeight="1" x14ac:dyDescent="0.3"/>
    <row r="56" ht="7.05" customHeight="1" x14ac:dyDescent="0.3"/>
    <row r="57" ht="7.05" customHeight="1" x14ac:dyDescent="0.3"/>
    <row r="58" ht="7.05" customHeight="1" x14ac:dyDescent="0.3"/>
    <row r="59" ht="7.05" customHeight="1" x14ac:dyDescent="0.3"/>
    <row r="60" ht="7.05" customHeight="1" x14ac:dyDescent="0.3"/>
    <row r="61" ht="7.05" customHeight="1" x14ac:dyDescent="0.3"/>
    <row r="62" ht="7.05" customHeight="1" x14ac:dyDescent="0.3"/>
    <row r="63" ht="7.05" customHeight="1" x14ac:dyDescent="0.3"/>
    <row r="64" ht="7.05" customHeight="1" x14ac:dyDescent="0.3"/>
    <row r="65" ht="7.05" customHeight="1" x14ac:dyDescent="0.3"/>
    <row r="66" ht="7.05" customHeight="1" x14ac:dyDescent="0.3"/>
    <row r="67" ht="7.05" customHeight="1" x14ac:dyDescent="0.3"/>
    <row r="68" ht="7.05" customHeight="1" x14ac:dyDescent="0.3"/>
    <row r="69" ht="7.05" customHeight="1" x14ac:dyDescent="0.3"/>
    <row r="70" ht="7.05" customHeight="1" x14ac:dyDescent="0.3"/>
    <row r="71" ht="7.05" customHeight="1" x14ac:dyDescent="0.3"/>
    <row r="72" ht="7.05" customHeight="1" x14ac:dyDescent="0.3"/>
    <row r="73" ht="7.05" customHeight="1" x14ac:dyDescent="0.3"/>
    <row r="74" ht="7.05" customHeight="1" x14ac:dyDescent="0.3"/>
    <row r="75" ht="7.05" customHeight="1" x14ac:dyDescent="0.3"/>
    <row r="76" ht="7.05" customHeight="1" x14ac:dyDescent="0.3"/>
    <row r="77" ht="7.05" customHeight="1" x14ac:dyDescent="0.3"/>
    <row r="78" ht="7.05" customHeight="1" x14ac:dyDescent="0.3"/>
    <row r="79" ht="7.05" customHeight="1" x14ac:dyDescent="0.3"/>
    <row r="80" ht="7.05" customHeight="1" x14ac:dyDescent="0.3"/>
    <row r="81" ht="7.05" customHeight="1" x14ac:dyDescent="0.3"/>
    <row r="82" ht="7.05" customHeight="1" x14ac:dyDescent="0.3"/>
    <row r="83" ht="7.05" customHeight="1" x14ac:dyDescent="0.3"/>
    <row r="84" ht="7.05" customHeight="1" x14ac:dyDescent="0.3"/>
    <row r="85" ht="7.05" customHeight="1" x14ac:dyDescent="0.3"/>
    <row r="86" ht="7.05" customHeight="1" x14ac:dyDescent="0.3"/>
    <row r="87" ht="7.05" customHeight="1" x14ac:dyDescent="0.3"/>
    <row r="88" ht="7.05" customHeight="1" x14ac:dyDescent="0.3"/>
    <row r="89" ht="7.05" customHeight="1" x14ac:dyDescent="0.3"/>
    <row r="90" ht="7.05" customHeight="1" x14ac:dyDescent="0.3"/>
    <row r="91" ht="7.05" customHeight="1" x14ac:dyDescent="0.3"/>
    <row r="92" ht="7.05" customHeight="1" x14ac:dyDescent="0.3"/>
    <row r="93" ht="7.05" customHeight="1" x14ac:dyDescent="0.3"/>
    <row r="94" ht="7.05" customHeight="1" x14ac:dyDescent="0.3"/>
    <row r="95" ht="7.05" customHeight="1" x14ac:dyDescent="0.3"/>
    <row r="96" ht="7.05" customHeight="1" x14ac:dyDescent="0.3"/>
    <row r="97" ht="7.05" customHeight="1" x14ac:dyDescent="0.3"/>
    <row r="98" ht="7.05" customHeight="1" x14ac:dyDescent="0.3"/>
    <row r="99" ht="7.05" customHeight="1" x14ac:dyDescent="0.3"/>
    <row r="100" ht="7.05" customHeight="1" x14ac:dyDescent="0.3"/>
    <row r="101" ht="7.05" customHeight="1" x14ac:dyDescent="0.3"/>
    <row r="102" ht="7.05" customHeight="1" x14ac:dyDescent="0.3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747C5B-D365-4060-87E6-73B5D8D79C7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Import</vt:lpstr>
      <vt:lpstr>DW Decomp</vt:lpstr>
      <vt:lpstr>FAB ENH Decomp</vt:lpstr>
      <vt:lpstr>LIQUID Decomp</vt:lpstr>
      <vt:lpstr>POWDER Decomp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Haeranyikanon, Teerapat</dc:creator>
  <cp:lastModifiedBy>Haeranyikanon, Teerapat</cp:lastModifiedBy>
  <dcterms:created xsi:type="dcterms:W3CDTF">2026-09-07T02:04:21Z</dcterms:created>
  <dcterms:modified xsi:type="dcterms:W3CDTF">2026-09-07T07:22:27Z</dcterms:modified>
</cp:coreProperties>
</file>